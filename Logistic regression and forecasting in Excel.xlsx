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https://deakin365-my.sharepoint.com/personal/s225125235_deakin_edu_au/Documents/"/>
    </mc:Choice>
  </mc:AlternateContent>
  <xr:revisionPtr revIDLastSave="3202" documentId="8_{82E196FE-B221-D94C-8178-054FBC08DDF6}" xr6:coauthVersionLast="47" xr6:coauthVersionMax="47" xr10:uidLastSave="{7E7887A9-BFB6-D248-A319-ACC595D6D6D5}"/>
  <bookViews>
    <workbookView xWindow="0" yWindow="860" windowWidth="34200" windowHeight="21380" activeTab="4" xr2:uid="{5FD7B73E-19E0-D148-B71E-CCAD905AF821}"/>
  </bookViews>
  <sheets>
    <sheet name="Data Description" sheetId="3" r:id="rId1"/>
    <sheet name="Cross-Sectional Data" sheetId="2" r:id="rId2"/>
    <sheet name="Raw_Data" sheetId="15" r:id="rId3"/>
    <sheet name="Raw_Data-2" sheetId="16" r:id="rId4"/>
    <sheet name="Correlation" sheetId="11" r:id="rId5"/>
    <sheet name="Regression Model" sheetId="12" r:id="rId6"/>
    <sheet name="Prediction" sheetId="13" r:id="rId7"/>
    <sheet name="Time-Series Data" sheetId="7" r:id="rId8"/>
    <sheet name="Forecasting" sheetId="14" r:id="rId9"/>
  </sheets>
  <definedNames>
    <definedName name="_xlnm._FilterDatabase" localSheetId="1" hidden="1">'Cross-Sectional Data'!$A$1:$U$1</definedName>
    <definedName name="_xlnm._FilterDatabase" localSheetId="2" hidden="1">Raw_Data!$A$1:$V$206</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2" i="14" l="1"/>
  <c r="K37" i="14"/>
  <c r="K38" i="14"/>
  <c r="K39" i="14"/>
  <c r="K40" i="14"/>
  <c r="K41" i="14"/>
  <c r="K43" i="14"/>
  <c r="S37" i="14"/>
  <c r="S38" i="14"/>
  <c r="S39" i="14"/>
  <c r="S40" i="14"/>
  <c r="S41" i="14"/>
  <c r="S42" i="14"/>
  <c r="S43" i="14"/>
  <c r="P37" i="14"/>
  <c r="P38" i="14"/>
  <c r="P39" i="14"/>
  <c r="P40" i="14"/>
  <c r="P41" i="14"/>
  <c r="P42" i="14"/>
  <c r="P43" i="14"/>
  <c r="C2" i="14" a="1"/>
  <c r="C2" i="14"/>
  <c r="F26" i="13"/>
  <c r="F25" i="13"/>
  <c r="I20" i="13"/>
  <c r="I23" i="13"/>
  <c r="I25" i="13"/>
  <c r="I24" i="13"/>
  <c r="F55" i="13"/>
  <c r="Y3" i="15"/>
  <c r="Y4" i="15"/>
  <c r="Y5" i="15"/>
  <c r="Y6" i="15"/>
  <c r="Y7" i="15"/>
  <c r="Y8" i="15"/>
  <c r="Y9" i="15"/>
  <c r="Y10" i="15"/>
  <c r="Y11" i="15"/>
  <c r="Y12" i="15"/>
  <c r="Y13" i="15"/>
  <c r="Y14" i="15"/>
  <c r="Y15" i="15"/>
  <c r="Y16" i="15"/>
  <c r="Y17" i="15"/>
  <c r="Y18" i="15"/>
  <c r="Y19" i="15"/>
  <c r="Y20" i="15"/>
  <c r="Y21" i="15"/>
  <c r="Y22" i="15"/>
  <c r="Y23" i="15"/>
  <c r="Y24" i="15"/>
  <c r="Y25" i="15"/>
  <c r="Y26" i="15"/>
  <c r="Y27" i="15"/>
  <c r="Y28" i="15"/>
  <c r="Y29" i="15"/>
  <c r="Y30" i="15"/>
  <c r="Y31" i="15"/>
  <c r="Y32" i="15"/>
  <c r="Y33" i="15"/>
  <c r="Y34" i="15"/>
  <c r="Y35" i="15"/>
  <c r="Y36" i="15"/>
  <c r="Y37" i="15"/>
  <c r="Y38" i="15"/>
  <c r="Y39" i="15"/>
  <c r="Y40" i="15"/>
  <c r="Y41" i="15"/>
  <c r="Y42" i="15"/>
  <c r="Y43" i="15"/>
  <c r="Y44" i="15"/>
  <c r="Y45" i="15"/>
  <c r="Y46" i="15"/>
  <c r="Y47" i="15"/>
  <c r="Y48" i="15"/>
  <c r="Y49" i="15"/>
  <c r="Y50" i="15"/>
  <c r="Y51" i="15"/>
  <c r="Y52" i="15"/>
  <c r="Y53" i="15"/>
  <c r="Y54" i="15"/>
  <c r="Y55" i="15"/>
  <c r="Y56" i="15"/>
  <c r="Y57" i="15"/>
  <c r="Y58" i="15"/>
  <c r="Y59" i="15"/>
  <c r="Y60" i="15"/>
  <c r="Y61" i="15"/>
  <c r="Y62" i="15"/>
  <c r="Y63" i="15"/>
  <c r="Y64" i="15"/>
  <c r="Y65" i="15"/>
  <c r="Y66" i="15"/>
  <c r="Y67" i="15"/>
  <c r="Y68" i="15"/>
  <c r="Y69" i="15"/>
  <c r="Y70" i="15"/>
  <c r="Y71" i="15"/>
  <c r="Y72" i="15"/>
  <c r="Y73" i="15"/>
  <c r="Y74" i="15"/>
  <c r="Y75" i="15"/>
  <c r="Y76" i="15"/>
  <c r="Y77" i="15"/>
  <c r="Y78" i="15"/>
  <c r="Y79" i="15"/>
  <c r="Y80" i="15"/>
  <c r="Y81" i="15"/>
  <c r="Y82" i="15"/>
  <c r="Y83" i="15"/>
  <c r="Y84" i="15"/>
  <c r="Y85" i="15"/>
  <c r="Y86" i="15"/>
  <c r="Y87" i="15"/>
  <c r="Y88" i="15"/>
  <c r="Y89" i="15"/>
  <c r="Y90" i="15"/>
  <c r="Y91" i="15"/>
  <c r="Y92" i="15"/>
  <c r="Y93" i="15"/>
  <c r="Y94" i="15"/>
  <c r="Y95" i="15"/>
  <c r="Y96" i="15"/>
  <c r="Y97" i="15"/>
  <c r="Y98" i="15"/>
  <c r="Y99" i="15"/>
  <c r="Y100" i="15"/>
  <c r="Y101" i="15"/>
  <c r="Y102" i="15"/>
  <c r="Y103" i="15"/>
  <c r="Y104" i="15"/>
  <c r="Y105" i="15"/>
  <c r="Y106" i="15"/>
  <c r="Y107" i="15"/>
  <c r="Y108" i="15"/>
  <c r="Y109" i="15"/>
  <c r="Y110" i="15"/>
  <c r="Y111" i="15"/>
  <c r="Y112" i="15"/>
  <c r="Y113" i="15"/>
  <c r="Y114" i="15"/>
  <c r="Y115" i="15"/>
  <c r="Y116" i="15"/>
  <c r="Y117" i="15"/>
  <c r="Y118" i="15"/>
  <c r="Y119" i="15"/>
  <c r="Y120" i="15"/>
  <c r="Y121" i="15"/>
  <c r="Y122" i="15"/>
  <c r="Y123" i="15"/>
  <c r="Y124" i="15"/>
  <c r="Y125" i="15"/>
  <c r="Y126" i="15"/>
  <c r="Y127" i="15"/>
  <c r="Y128" i="15"/>
  <c r="Y129" i="15"/>
  <c r="Y130" i="15"/>
  <c r="Y131" i="15"/>
  <c r="Y132" i="15"/>
  <c r="Y133" i="15"/>
  <c r="Y134" i="15"/>
  <c r="Y135" i="15"/>
  <c r="Y136" i="15"/>
  <c r="Y137" i="15"/>
  <c r="Y138" i="15"/>
  <c r="Y139" i="15"/>
  <c r="Y140" i="15"/>
  <c r="Y141" i="15"/>
  <c r="Y142" i="15"/>
  <c r="Y143" i="15"/>
  <c r="Y144" i="15"/>
  <c r="Y145" i="15"/>
  <c r="Y146" i="15"/>
  <c r="Y147" i="15"/>
  <c r="Y148" i="15"/>
  <c r="Y149" i="15"/>
  <c r="Y150" i="15"/>
  <c r="Y151" i="15"/>
  <c r="Y152" i="15"/>
  <c r="Y153" i="15"/>
  <c r="Y154" i="15"/>
  <c r="Y155" i="15"/>
  <c r="Y156" i="15"/>
  <c r="Y157" i="15"/>
  <c r="Y158" i="15"/>
  <c r="Y159" i="15"/>
  <c r="Y160" i="15"/>
  <c r="Y161" i="15"/>
  <c r="Y162" i="15"/>
  <c r="Y163" i="15"/>
  <c r="Y164" i="15"/>
  <c r="Y165" i="15"/>
  <c r="Y166" i="15"/>
  <c r="Y167" i="15"/>
  <c r="Y168" i="15"/>
  <c r="Y169" i="15"/>
  <c r="Y170" i="15"/>
  <c r="Y171" i="15"/>
  <c r="Y172" i="15"/>
  <c r="Y173" i="15"/>
  <c r="Y174" i="15"/>
  <c r="Y175" i="15"/>
  <c r="Y176" i="15"/>
  <c r="Y177" i="15"/>
  <c r="Y178" i="15"/>
  <c r="Y179" i="15"/>
  <c r="Y180" i="15"/>
  <c r="Y181" i="15"/>
  <c r="Y182" i="15"/>
  <c r="Y183" i="15"/>
  <c r="Y184" i="15"/>
  <c r="Y185" i="15"/>
  <c r="Y186" i="15"/>
  <c r="Y187" i="15"/>
  <c r="Y188" i="15"/>
  <c r="Y189" i="15"/>
  <c r="Y190" i="15"/>
  <c r="Y191" i="15"/>
  <c r="Y192" i="15"/>
  <c r="Y193" i="15"/>
  <c r="Y194" i="15"/>
  <c r="Y195" i="15"/>
  <c r="Y196" i="15"/>
  <c r="Y197" i="15"/>
  <c r="Y198" i="15"/>
  <c r="Y199" i="15"/>
  <c r="Y200" i="15"/>
  <c r="Y201" i="15"/>
  <c r="Y202" i="15"/>
  <c r="Y203" i="15"/>
  <c r="Y204" i="15"/>
  <c r="Y205" i="15"/>
  <c r="Y206" i="15"/>
  <c r="Y2" i="15"/>
  <c r="W3" i="15"/>
  <c r="W4" i="15"/>
  <c r="W5" i="15"/>
  <c r="W6" i="15"/>
  <c r="W7" i="15"/>
  <c r="W8" i="15"/>
  <c r="W9" i="15"/>
  <c r="W10" i="15"/>
  <c r="W11" i="15"/>
  <c r="W12" i="15"/>
  <c r="W13" i="15"/>
  <c r="W14" i="15"/>
  <c r="W15" i="15"/>
  <c r="W16" i="15"/>
  <c r="W17" i="15"/>
  <c r="W18" i="15"/>
  <c r="W19" i="15"/>
  <c r="W20" i="15"/>
  <c r="W21" i="15"/>
  <c r="W22" i="15"/>
  <c r="W23" i="15"/>
  <c r="W24" i="15"/>
  <c r="W25" i="15"/>
  <c r="W26" i="15"/>
  <c r="W27" i="15"/>
  <c r="W28" i="15"/>
  <c r="W29" i="15"/>
  <c r="W30" i="15"/>
  <c r="W31" i="15"/>
  <c r="W32" i="15"/>
  <c r="W33" i="15"/>
  <c r="W34" i="15"/>
  <c r="W35" i="15"/>
  <c r="W36" i="15"/>
  <c r="W37" i="15"/>
  <c r="W38" i="15"/>
  <c r="W39" i="15"/>
  <c r="W40" i="15"/>
  <c r="W41" i="15"/>
  <c r="W42" i="15"/>
  <c r="W43" i="15"/>
  <c r="W44" i="15"/>
  <c r="W45" i="15"/>
  <c r="W46" i="15"/>
  <c r="W47" i="15"/>
  <c r="W48" i="15"/>
  <c r="W49" i="15"/>
  <c r="W50" i="15"/>
  <c r="W51" i="15"/>
  <c r="W52" i="15"/>
  <c r="W53" i="15"/>
  <c r="W54" i="15"/>
  <c r="W55" i="15"/>
  <c r="W56" i="15"/>
  <c r="W57" i="15"/>
  <c r="W58" i="15"/>
  <c r="W59" i="15"/>
  <c r="W60" i="15"/>
  <c r="W61" i="15"/>
  <c r="W62" i="15"/>
  <c r="W63" i="15"/>
  <c r="W64" i="15"/>
  <c r="W65" i="15"/>
  <c r="W66" i="15"/>
  <c r="W67" i="15"/>
  <c r="W68" i="15"/>
  <c r="W69" i="15"/>
  <c r="W70" i="15"/>
  <c r="W71" i="15"/>
  <c r="W72" i="15"/>
  <c r="W73" i="15"/>
  <c r="W74" i="15"/>
  <c r="W75" i="15"/>
  <c r="W76" i="15"/>
  <c r="W77" i="15"/>
  <c r="W78" i="15"/>
  <c r="W79" i="15"/>
  <c r="W80" i="15"/>
  <c r="W81" i="15"/>
  <c r="W82" i="15"/>
  <c r="W83" i="15"/>
  <c r="W84" i="15"/>
  <c r="W85" i="15"/>
  <c r="W86" i="15"/>
  <c r="W87" i="15"/>
  <c r="W88" i="15"/>
  <c r="W89" i="15"/>
  <c r="W90" i="15"/>
  <c r="W91" i="15"/>
  <c r="W92" i="15"/>
  <c r="W93" i="15"/>
  <c r="W94" i="15"/>
  <c r="W95" i="15"/>
  <c r="W96" i="15"/>
  <c r="W97" i="15"/>
  <c r="W98" i="15"/>
  <c r="W99" i="15"/>
  <c r="W100" i="15"/>
  <c r="W101" i="15"/>
  <c r="W102" i="15"/>
  <c r="W103" i="15"/>
  <c r="W104" i="15"/>
  <c r="W105" i="15"/>
  <c r="W106" i="15"/>
  <c r="W107" i="15"/>
  <c r="W108" i="15"/>
  <c r="W109" i="15"/>
  <c r="W110" i="15"/>
  <c r="W111" i="15"/>
  <c r="W112" i="15"/>
  <c r="W113" i="15"/>
  <c r="W114" i="15"/>
  <c r="W115" i="15"/>
  <c r="W116" i="15"/>
  <c r="W117" i="15"/>
  <c r="W118" i="15"/>
  <c r="W119" i="15"/>
  <c r="W120" i="15"/>
  <c r="W121" i="15"/>
  <c r="W122" i="15"/>
  <c r="W123" i="15"/>
  <c r="W124" i="15"/>
  <c r="W125" i="15"/>
  <c r="W126" i="15"/>
  <c r="W127" i="15"/>
  <c r="W128" i="15"/>
  <c r="W129" i="15"/>
  <c r="W130" i="15"/>
  <c r="W131" i="15"/>
  <c r="W132" i="15"/>
  <c r="W133" i="15"/>
  <c r="W134" i="15"/>
  <c r="W135" i="15"/>
  <c r="W136" i="15"/>
  <c r="W137" i="15"/>
  <c r="W138" i="15"/>
  <c r="W139" i="15"/>
  <c r="W140" i="15"/>
  <c r="W141" i="15"/>
  <c r="W142" i="15"/>
  <c r="W143" i="15"/>
  <c r="W144" i="15"/>
  <c r="W145" i="15"/>
  <c r="W146" i="15"/>
  <c r="W147" i="15"/>
  <c r="W148" i="15"/>
  <c r="W149" i="15"/>
  <c r="W150" i="15"/>
  <c r="W151" i="15"/>
  <c r="W152" i="15"/>
  <c r="W153" i="15"/>
  <c r="W154" i="15"/>
  <c r="W155" i="15"/>
  <c r="W156" i="15"/>
  <c r="W157" i="15"/>
  <c r="W158" i="15"/>
  <c r="W159" i="15"/>
  <c r="W160" i="15"/>
  <c r="W161" i="15"/>
  <c r="W162" i="15"/>
  <c r="W163" i="15"/>
  <c r="W164" i="15"/>
  <c r="W165" i="15"/>
  <c r="W166" i="15"/>
  <c r="W167" i="15"/>
  <c r="W168" i="15"/>
  <c r="W169" i="15"/>
  <c r="W170" i="15"/>
  <c r="W171" i="15"/>
  <c r="W172" i="15"/>
  <c r="W173" i="15"/>
  <c r="W174" i="15"/>
  <c r="W175" i="15"/>
  <c r="W176" i="15"/>
  <c r="W177" i="15"/>
  <c r="W178" i="15"/>
  <c r="W179" i="15"/>
  <c r="W180" i="15"/>
  <c r="W181" i="15"/>
  <c r="W182" i="15"/>
  <c r="W183" i="15"/>
  <c r="W184" i="15"/>
  <c r="W185" i="15"/>
  <c r="W186" i="15"/>
  <c r="W187" i="15"/>
  <c r="W188" i="15"/>
  <c r="W189" i="15"/>
  <c r="W190" i="15"/>
  <c r="W191" i="15"/>
  <c r="W192" i="15"/>
  <c r="W193" i="15"/>
  <c r="W194" i="15"/>
  <c r="W195" i="15"/>
  <c r="W196" i="15"/>
  <c r="W197" i="15"/>
  <c r="W198" i="15"/>
  <c r="W199" i="15"/>
  <c r="W200" i="15"/>
  <c r="W201" i="15"/>
  <c r="W202" i="15"/>
  <c r="W203" i="15"/>
  <c r="W204" i="15"/>
  <c r="W205" i="15"/>
  <c r="W206" i="15"/>
  <c r="W2" i="15"/>
  <c r="V3" i="15"/>
  <c r="V4" i="15"/>
  <c r="V5" i="15"/>
  <c r="V6" i="15"/>
  <c r="V7" i="15"/>
  <c r="V8" i="15"/>
  <c r="V9" i="15"/>
  <c r="V10" i="15"/>
  <c r="V11" i="15"/>
  <c r="V12" i="15"/>
  <c r="V13" i="15"/>
  <c r="V14" i="15"/>
  <c r="V15" i="15"/>
  <c r="V16" i="15"/>
  <c r="V17" i="15"/>
  <c r="V18" i="15"/>
  <c r="V19" i="15"/>
  <c r="V20" i="15"/>
  <c r="V21" i="15"/>
  <c r="V22" i="15"/>
  <c r="V23" i="15"/>
  <c r="V24" i="15"/>
  <c r="V25" i="15"/>
  <c r="V26" i="15"/>
  <c r="V27" i="15"/>
  <c r="V28" i="15"/>
  <c r="V29" i="15"/>
  <c r="V30" i="15"/>
  <c r="V31" i="15"/>
  <c r="V32" i="15"/>
  <c r="V33" i="15"/>
  <c r="V34" i="15"/>
  <c r="V35" i="15"/>
  <c r="V36" i="15"/>
  <c r="V37" i="15"/>
  <c r="V38" i="15"/>
  <c r="V39" i="15"/>
  <c r="V40" i="15"/>
  <c r="V41" i="15"/>
  <c r="V42" i="15"/>
  <c r="V43" i="15"/>
  <c r="V44" i="15"/>
  <c r="V45" i="15"/>
  <c r="V46" i="15"/>
  <c r="V47" i="15"/>
  <c r="V48" i="15"/>
  <c r="V49" i="15"/>
  <c r="V50" i="15"/>
  <c r="V51" i="15"/>
  <c r="V52" i="15"/>
  <c r="V53" i="15"/>
  <c r="V54" i="15"/>
  <c r="V55" i="15"/>
  <c r="V56" i="15"/>
  <c r="V57" i="15"/>
  <c r="V58" i="15"/>
  <c r="V59" i="15"/>
  <c r="V60" i="15"/>
  <c r="V61" i="15"/>
  <c r="V62" i="15"/>
  <c r="V63" i="15"/>
  <c r="V64" i="15"/>
  <c r="V65" i="15"/>
  <c r="V66" i="15"/>
  <c r="V67" i="15"/>
  <c r="V68" i="15"/>
  <c r="V69" i="15"/>
  <c r="V70" i="15"/>
  <c r="V71" i="15"/>
  <c r="V72" i="15"/>
  <c r="V73" i="15"/>
  <c r="V74" i="15"/>
  <c r="V75" i="15"/>
  <c r="V76" i="15"/>
  <c r="V77" i="15"/>
  <c r="V78" i="15"/>
  <c r="V79" i="15"/>
  <c r="V80" i="15"/>
  <c r="V81" i="15"/>
  <c r="V82" i="15"/>
  <c r="V83" i="15"/>
  <c r="V84" i="15"/>
  <c r="V85" i="15"/>
  <c r="V86" i="15"/>
  <c r="V87" i="15"/>
  <c r="V88" i="15"/>
  <c r="V89" i="15"/>
  <c r="V90" i="15"/>
  <c r="V91" i="15"/>
  <c r="V92" i="15"/>
  <c r="V93" i="15"/>
  <c r="V94" i="15"/>
  <c r="V95" i="15"/>
  <c r="V96" i="15"/>
  <c r="V97" i="15"/>
  <c r="V98" i="15"/>
  <c r="V99" i="15"/>
  <c r="V100" i="15"/>
  <c r="V101" i="15"/>
  <c r="V102" i="15"/>
  <c r="V103" i="15"/>
  <c r="V104" i="15"/>
  <c r="V105" i="15"/>
  <c r="V106" i="15"/>
  <c r="V107" i="15"/>
  <c r="V108" i="15"/>
  <c r="V109" i="15"/>
  <c r="V110" i="15"/>
  <c r="V111" i="15"/>
  <c r="V112" i="15"/>
  <c r="V113" i="15"/>
  <c r="V114" i="15"/>
  <c r="V115" i="15"/>
  <c r="V116" i="15"/>
  <c r="V117" i="15"/>
  <c r="V118" i="15"/>
  <c r="V119" i="15"/>
  <c r="V120" i="15"/>
  <c r="V121" i="15"/>
  <c r="V122" i="15"/>
  <c r="V123" i="15"/>
  <c r="V124" i="15"/>
  <c r="V125" i="15"/>
  <c r="V126" i="15"/>
  <c r="V127" i="15"/>
  <c r="V128" i="15"/>
  <c r="V129" i="15"/>
  <c r="V130" i="15"/>
  <c r="V131" i="15"/>
  <c r="V132" i="15"/>
  <c r="V133" i="15"/>
  <c r="V134" i="15"/>
  <c r="V135" i="15"/>
  <c r="V136" i="15"/>
  <c r="V137" i="15"/>
  <c r="V138" i="15"/>
  <c r="V139" i="15"/>
  <c r="V140" i="15"/>
  <c r="V141" i="15"/>
  <c r="V142" i="15"/>
  <c r="V143" i="15"/>
  <c r="V144" i="15"/>
  <c r="V145" i="15"/>
  <c r="V146" i="15"/>
  <c r="V147" i="15"/>
  <c r="V148" i="15"/>
  <c r="V149" i="15"/>
  <c r="V150" i="15"/>
  <c r="V151" i="15"/>
  <c r="V152" i="15"/>
  <c r="V153" i="15"/>
  <c r="V154" i="15"/>
  <c r="V155" i="15"/>
  <c r="V156" i="15"/>
  <c r="V157" i="15"/>
  <c r="V158" i="15"/>
  <c r="V159" i="15"/>
  <c r="V160" i="15"/>
  <c r="V161" i="15"/>
  <c r="V162" i="15"/>
  <c r="V163" i="15"/>
  <c r="V164" i="15"/>
  <c r="V165" i="15"/>
  <c r="V166" i="15"/>
  <c r="V167" i="15"/>
  <c r="V168" i="15"/>
  <c r="V169" i="15"/>
  <c r="V170" i="15"/>
  <c r="V171" i="15"/>
  <c r="V172" i="15"/>
  <c r="V173" i="15"/>
  <c r="V174" i="15"/>
  <c r="V175" i="15"/>
  <c r="V176" i="15"/>
  <c r="V177" i="15"/>
  <c r="V178" i="15"/>
  <c r="V179" i="15"/>
  <c r="V180" i="15"/>
  <c r="V181" i="15"/>
  <c r="V182" i="15"/>
  <c r="V183" i="15"/>
  <c r="V184" i="15"/>
  <c r="V185" i="15"/>
  <c r="V186" i="15"/>
  <c r="V187" i="15"/>
  <c r="V188" i="15"/>
  <c r="V189" i="15"/>
  <c r="V190" i="15"/>
  <c r="V191" i="15"/>
  <c r="V192" i="15"/>
  <c r="V193" i="15"/>
  <c r="V194" i="15"/>
  <c r="V195" i="15"/>
  <c r="V196" i="15"/>
  <c r="V197" i="15"/>
  <c r="V198" i="15"/>
  <c r="V199" i="15"/>
  <c r="V200" i="15"/>
  <c r="V201" i="15"/>
  <c r="V202" i="15"/>
  <c r="V203" i="15"/>
  <c r="V204" i="15"/>
  <c r="V205" i="15"/>
  <c r="V206" i="15"/>
  <c r="V2" i="15"/>
  <c r="R3" i="15"/>
  <c r="R4" i="15"/>
  <c r="R5" i="15"/>
  <c r="R6" i="15"/>
  <c r="R7" i="15"/>
  <c r="R8" i="15"/>
  <c r="R9" i="15"/>
  <c r="R10" i="15"/>
  <c r="R11" i="15"/>
  <c r="R12" i="15"/>
  <c r="R13" i="15"/>
  <c r="R14" i="15"/>
  <c r="R15" i="15"/>
  <c r="R16" i="15"/>
  <c r="R17" i="15"/>
  <c r="R18" i="15"/>
  <c r="R19" i="15"/>
  <c r="R20" i="15"/>
  <c r="R21" i="15"/>
  <c r="R22" i="15"/>
  <c r="R23" i="15"/>
  <c r="R24" i="15"/>
  <c r="R25" i="15"/>
  <c r="R26" i="15"/>
  <c r="R27" i="15"/>
  <c r="R28" i="15"/>
  <c r="R29" i="15"/>
  <c r="R30" i="15"/>
  <c r="R31" i="15"/>
  <c r="R32" i="15"/>
  <c r="R33" i="15"/>
  <c r="R34" i="15"/>
  <c r="R35" i="15"/>
  <c r="R36" i="15"/>
  <c r="R37" i="15"/>
  <c r="R38" i="15"/>
  <c r="R39" i="15"/>
  <c r="R40" i="15"/>
  <c r="R41" i="15"/>
  <c r="R42" i="15"/>
  <c r="R43" i="15"/>
  <c r="R44" i="15"/>
  <c r="R45" i="15"/>
  <c r="R46" i="15"/>
  <c r="R47" i="15"/>
  <c r="R48" i="15"/>
  <c r="R49" i="15"/>
  <c r="R50" i="15"/>
  <c r="R51" i="15"/>
  <c r="R52" i="15"/>
  <c r="R53" i="15"/>
  <c r="R54" i="15"/>
  <c r="R55" i="15"/>
  <c r="R56" i="15"/>
  <c r="R57" i="15"/>
  <c r="R58" i="15"/>
  <c r="R59" i="15"/>
  <c r="R60" i="15"/>
  <c r="R61" i="15"/>
  <c r="R62" i="15"/>
  <c r="R63" i="15"/>
  <c r="R64" i="15"/>
  <c r="R65" i="15"/>
  <c r="R66" i="15"/>
  <c r="R67" i="15"/>
  <c r="R68" i="15"/>
  <c r="R69" i="15"/>
  <c r="R70" i="15"/>
  <c r="R71" i="15"/>
  <c r="R72" i="15"/>
  <c r="R73" i="15"/>
  <c r="R74" i="15"/>
  <c r="R75" i="15"/>
  <c r="R76" i="15"/>
  <c r="R77" i="15"/>
  <c r="R78" i="15"/>
  <c r="R79" i="15"/>
  <c r="R80" i="15"/>
  <c r="R81" i="15"/>
  <c r="R82" i="15"/>
  <c r="R83" i="15"/>
  <c r="R84" i="15"/>
  <c r="R85" i="15"/>
  <c r="R86" i="15"/>
  <c r="R87" i="15"/>
  <c r="R88" i="15"/>
  <c r="R89" i="15"/>
  <c r="R90" i="15"/>
  <c r="R91" i="15"/>
  <c r="R92" i="15"/>
  <c r="R93" i="15"/>
  <c r="R94" i="15"/>
  <c r="R95" i="15"/>
  <c r="R96" i="15"/>
  <c r="R97" i="15"/>
  <c r="R98" i="15"/>
  <c r="R99" i="15"/>
  <c r="R100" i="15"/>
  <c r="R101" i="15"/>
  <c r="R102" i="15"/>
  <c r="R103" i="15"/>
  <c r="R104" i="15"/>
  <c r="R105" i="15"/>
  <c r="R106" i="15"/>
  <c r="R107" i="15"/>
  <c r="R108" i="15"/>
  <c r="R109" i="15"/>
  <c r="R110" i="15"/>
  <c r="R111" i="15"/>
  <c r="R112" i="15"/>
  <c r="R113" i="15"/>
  <c r="R114" i="15"/>
  <c r="R115" i="15"/>
  <c r="R116" i="15"/>
  <c r="R117" i="15"/>
  <c r="R118" i="15"/>
  <c r="R119" i="15"/>
  <c r="R120" i="15"/>
  <c r="R121" i="15"/>
  <c r="R122" i="15"/>
  <c r="R123" i="15"/>
  <c r="R124" i="15"/>
  <c r="R125" i="15"/>
  <c r="R126" i="15"/>
  <c r="R127" i="15"/>
  <c r="R128" i="15"/>
  <c r="R129" i="15"/>
  <c r="R130" i="15"/>
  <c r="R131" i="15"/>
  <c r="R132" i="15"/>
  <c r="R133" i="15"/>
  <c r="R134" i="15"/>
  <c r="R135" i="15"/>
  <c r="R136" i="15"/>
  <c r="R137" i="15"/>
  <c r="R138" i="15"/>
  <c r="R139" i="15"/>
  <c r="R140" i="15"/>
  <c r="R141" i="15"/>
  <c r="R142" i="15"/>
  <c r="R143" i="15"/>
  <c r="R144" i="15"/>
  <c r="R145" i="15"/>
  <c r="R146" i="15"/>
  <c r="R147" i="15"/>
  <c r="R148" i="15"/>
  <c r="R149" i="15"/>
  <c r="R150" i="15"/>
  <c r="R151" i="15"/>
  <c r="R152" i="15"/>
  <c r="R153" i="15"/>
  <c r="R154" i="15"/>
  <c r="R155" i="15"/>
  <c r="R156" i="15"/>
  <c r="R157" i="15"/>
  <c r="R158" i="15"/>
  <c r="R159" i="15"/>
  <c r="R160" i="15"/>
  <c r="R161" i="15"/>
  <c r="R162" i="15"/>
  <c r="R163" i="15"/>
  <c r="R164" i="15"/>
  <c r="R165" i="15"/>
  <c r="R166" i="15"/>
  <c r="R167" i="15"/>
  <c r="R168" i="15"/>
  <c r="R169" i="15"/>
  <c r="R170" i="15"/>
  <c r="R171" i="15"/>
  <c r="R172" i="15"/>
  <c r="R173" i="15"/>
  <c r="R174" i="15"/>
  <c r="R175" i="15"/>
  <c r="R176" i="15"/>
  <c r="R177" i="15"/>
  <c r="R178" i="15"/>
  <c r="R179" i="15"/>
  <c r="R180" i="15"/>
  <c r="R181" i="15"/>
  <c r="R182" i="15"/>
  <c r="R183" i="15"/>
  <c r="R184" i="15"/>
  <c r="R185" i="15"/>
  <c r="R186" i="15"/>
  <c r="R187" i="15"/>
  <c r="R188" i="15"/>
  <c r="R189" i="15"/>
  <c r="R190" i="15"/>
  <c r="R191" i="15"/>
  <c r="R192" i="15"/>
  <c r="R193" i="15"/>
  <c r="R194" i="15"/>
  <c r="R195" i="15"/>
  <c r="R196" i="15"/>
  <c r="R197" i="15"/>
  <c r="R198" i="15"/>
  <c r="R199" i="15"/>
  <c r="R200" i="15"/>
  <c r="R201" i="15"/>
  <c r="R202" i="15"/>
  <c r="R203" i="15"/>
  <c r="R204" i="15"/>
  <c r="R205" i="15"/>
  <c r="R206" i="15"/>
  <c r="T3" i="15"/>
  <c r="T4" i="15"/>
  <c r="T5" i="15"/>
  <c r="T6" i="15"/>
  <c r="T7" i="15"/>
  <c r="T8" i="15"/>
  <c r="T9" i="15"/>
  <c r="T10" i="15"/>
  <c r="T11" i="15"/>
  <c r="T12" i="15"/>
  <c r="T13" i="15"/>
  <c r="T14" i="15"/>
  <c r="T15" i="15"/>
  <c r="T16" i="15"/>
  <c r="T17" i="15"/>
  <c r="T18" i="15"/>
  <c r="T19" i="15"/>
  <c r="T20" i="15"/>
  <c r="T21" i="15"/>
  <c r="T22" i="15"/>
  <c r="T23" i="15"/>
  <c r="T24" i="15"/>
  <c r="T25" i="15"/>
  <c r="T26" i="15"/>
  <c r="T27" i="15"/>
  <c r="T28" i="15"/>
  <c r="T29" i="15"/>
  <c r="T30" i="15"/>
  <c r="T31" i="15"/>
  <c r="T32" i="15"/>
  <c r="T33" i="15"/>
  <c r="T34" i="15"/>
  <c r="T35" i="15"/>
  <c r="T36" i="15"/>
  <c r="T37" i="15"/>
  <c r="T38" i="15"/>
  <c r="T39" i="15"/>
  <c r="T40" i="15"/>
  <c r="T41" i="15"/>
  <c r="T42" i="15"/>
  <c r="T43" i="15"/>
  <c r="T44" i="15"/>
  <c r="T45" i="15"/>
  <c r="T46" i="15"/>
  <c r="T47" i="15"/>
  <c r="T48" i="15"/>
  <c r="T49" i="15"/>
  <c r="T50" i="15"/>
  <c r="T51" i="15"/>
  <c r="T52" i="15"/>
  <c r="T53" i="15"/>
  <c r="T54" i="15"/>
  <c r="T55" i="15"/>
  <c r="T56" i="15"/>
  <c r="T57" i="15"/>
  <c r="T58" i="15"/>
  <c r="T59" i="15"/>
  <c r="T60" i="15"/>
  <c r="T61" i="15"/>
  <c r="T62" i="15"/>
  <c r="T63" i="15"/>
  <c r="T64" i="15"/>
  <c r="T65" i="15"/>
  <c r="T66" i="15"/>
  <c r="T67" i="15"/>
  <c r="T68" i="15"/>
  <c r="T69" i="15"/>
  <c r="T70" i="15"/>
  <c r="T71" i="15"/>
  <c r="T72" i="15"/>
  <c r="T73" i="15"/>
  <c r="T74" i="15"/>
  <c r="T75" i="15"/>
  <c r="T76" i="15"/>
  <c r="T77" i="15"/>
  <c r="T78" i="15"/>
  <c r="T79" i="15"/>
  <c r="T80" i="15"/>
  <c r="T81" i="15"/>
  <c r="T82" i="15"/>
  <c r="T83" i="15"/>
  <c r="T84" i="15"/>
  <c r="T85" i="15"/>
  <c r="T86" i="15"/>
  <c r="T87" i="15"/>
  <c r="T88" i="15"/>
  <c r="T89" i="15"/>
  <c r="T90" i="15"/>
  <c r="T91" i="15"/>
  <c r="T92" i="15"/>
  <c r="T93" i="15"/>
  <c r="T94" i="15"/>
  <c r="T95" i="15"/>
  <c r="T96" i="15"/>
  <c r="T97" i="15"/>
  <c r="T98" i="15"/>
  <c r="T99" i="15"/>
  <c r="T100" i="15"/>
  <c r="T101" i="15"/>
  <c r="T102" i="15"/>
  <c r="T103" i="15"/>
  <c r="T104" i="15"/>
  <c r="T105" i="15"/>
  <c r="T106" i="15"/>
  <c r="T107" i="15"/>
  <c r="T108" i="15"/>
  <c r="T109" i="15"/>
  <c r="T110" i="15"/>
  <c r="T111" i="15"/>
  <c r="T112" i="15"/>
  <c r="T113" i="15"/>
  <c r="T114" i="15"/>
  <c r="T115" i="15"/>
  <c r="T116" i="15"/>
  <c r="T117" i="15"/>
  <c r="T118" i="15"/>
  <c r="T119" i="15"/>
  <c r="T120" i="15"/>
  <c r="T121" i="15"/>
  <c r="T122" i="15"/>
  <c r="T123" i="15"/>
  <c r="T124" i="15"/>
  <c r="T125" i="15"/>
  <c r="T126" i="15"/>
  <c r="T127" i="15"/>
  <c r="T128" i="15"/>
  <c r="T129" i="15"/>
  <c r="T130" i="15"/>
  <c r="T131" i="15"/>
  <c r="T132" i="15"/>
  <c r="T133" i="15"/>
  <c r="T134" i="15"/>
  <c r="T135" i="15"/>
  <c r="T136" i="15"/>
  <c r="T137" i="15"/>
  <c r="T138" i="15"/>
  <c r="T139" i="15"/>
  <c r="T140" i="15"/>
  <c r="T141" i="15"/>
  <c r="T142" i="15"/>
  <c r="T143" i="15"/>
  <c r="T144" i="15"/>
  <c r="T145" i="15"/>
  <c r="T146" i="15"/>
  <c r="T147" i="15"/>
  <c r="T148" i="15"/>
  <c r="T149" i="15"/>
  <c r="T150" i="15"/>
  <c r="T151" i="15"/>
  <c r="T152" i="15"/>
  <c r="T153" i="15"/>
  <c r="T154" i="15"/>
  <c r="T155" i="15"/>
  <c r="T156" i="15"/>
  <c r="T157" i="15"/>
  <c r="T158" i="15"/>
  <c r="T159" i="15"/>
  <c r="T160" i="15"/>
  <c r="T161" i="15"/>
  <c r="T162" i="15"/>
  <c r="T163" i="15"/>
  <c r="T164" i="15"/>
  <c r="T165" i="15"/>
  <c r="T166" i="15"/>
  <c r="T167" i="15"/>
  <c r="T168" i="15"/>
  <c r="T169" i="15"/>
  <c r="T170" i="15"/>
  <c r="T171" i="15"/>
  <c r="T172" i="15"/>
  <c r="T173" i="15"/>
  <c r="T174" i="15"/>
  <c r="T175" i="15"/>
  <c r="T176" i="15"/>
  <c r="T177" i="15"/>
  <c r="T178" i="15"/>
  <c r="T179" i="15"/>
  <c r="T180" i="15"/>
  <c r="T181" i="15"/>
  <c r="T182" i="15"/>
  <c r="T183" i="15"/>
  <c r="T184" i="15"/>
  <c r="T185" i="15"/>
  <c r="T186" i="15"/>
  <c r="T187" i="15"/>
  <c r="T188" i="15"/>
  <c r="T189" i="15"/>
  <c r="T190" i="15"/>
  <c r="T191" i="15"/>
  <c r="T192" i="15"/>
  <c r="T193" i="15"/>
  <c r="T194" i="15"/>
  <c r="T195" i="15"/>
  <c r="T196" i="15"/>
  <c r="T197" i="15"/>
  <c r="T198" i="15"/>
  <c r="T199" i="15"/>
  <c r="T200" i="15"/>
  <c r="T201" i="15"/>
  <c r="T202" i="15"/>
  <c r="T203" i="15"/>
  <c r="T204" i="15"/>
  <c r="T205" i="15"/>
  <c r="T206" i="15"/>
  <c r="T2" i="15"/>
  <c r="R2" i="15"/>
  <c r="P3" i="15"/>
  <c r="P4" i="15"/>
  <c r="P5" i="15"/>
  <c r="P6" i="15"/>
  <c r="P7"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P37" i="15"/>
  <c r="P38" i="15"/>
  <c r="P39" i="15"/>
  <c r="P40" i="15"/>
  <c r="P41" i="15"/>
  <c r="P42" i="15"/>
  <c r="P43" i="15"/>
  <c r="P44" i="15"/>
  <c r="P45" i="15"/>
  <c r="P46" i="15"/>
  <c r="P47" i="15"/>
  <c r="P48" i="15"/>
  <c r="P49" i="15"/>
  <c r="P50" i="15"/>
  <c r="P51" i="15"/>
  <c r="P52" i="15"/>
  <c r="P53" i="15"/>
  <c r="P54" i="15"/>
  <c r="P55" i="15"/>
  <c r="P56" i="15"/>
  <c r="P57" i="15"/>
  <c r="P58" i="15"/>
  <c r="P59" i="15"/>
  <c r="P60" i="15"/>
  <c r="P61" i="15"/>
  <c r="P62" i="15"/>
  <c r="P63" i="15"/>
  <c r="P64" i="15"/>
  <c r="P65" i="15"/>
  <c r="P66" i="15"/>
  <c r="P67" i="15"/>
  <c r="P68" i="15"/>
  <c r="P69" i="15"/>
  <c r="P70" i="15"/>
  <c r="P71" i="15"/>
  <c r="P72" i="15"/>
  <c r="P73" i="15"/>
  <c r="P74" i="15"/>
  <c r="P75" i="15"/>
  <c r="P76" i="15"/>
  <c r="P77" i="15"/>
  <c r="P78" i="15"/>
  <c r="P79" i="15"/>
  <c r="P80" i="15"/>
  <c r="P81" i="15"/>
  <c r="P82" i="15"/>
  <c r="P83" i="15"/>
  <c r="P84" i="15"/>
  <c r="P85" i="15"/>
  <c r="P86" i="15"/>
  <c r="P87" i="15"/>
  <c r="P88" i="15"/>
  <c r="P89" i="15"/>
  <c r="P90" i="15"/>
  <c r="P91" i="15"/>
  <c r="P92" i="15"/>
  <c r="P93" i="15"/>
  <c r="P94" i="15"/>
  <c r="P95" i="15"/>
  <c r="P96" i="15"/>
  <c r="P97" i="15"/>
  <c r="P98" i="15"/>
  <c r="P99" i="15"/>
  <c r="P100" i="15"/>
  <c r="P101" i="15"/>
  <c r="P102" i="15"/>
  <c r="P103" i="15"/>
  <c r="P104" i="15"/>
  <c r="P105" i="15"/>
  <c r="P106" i="15"/>
  <c r="P107" i="15"/>
  <c r="P108" i="15"/>
  <c r="P109" i="15"/>
  <c r="P110" i="15"/>
  <c r="P111" i="15"/>
  <c r="P112" i="15"/>
  <c r="P113" i="15"/>
  <c r="P114" i="15"/>
  <c r="P115" i="15"/>
  <c r="P116" i="15"/>
  <c r="P117" i="15"/>
  <c r="P118" i="15"/>
  <c r="P119" i="15"/>
  <c r="P120" i="15"/>
  <c r="P121" i="15"/>
  <c r="P122" i="15"/>
  <c r="P123" i="15"/>
  <c r="P124" i="15"/>
  <c r="P125" i="15"/>
  <c r="P126" i="15"/>
  <c r="P127" i="15"/>
  <c r="P128" i="15"/>
  <c r="P129" i="15"/>
  <c r="P130" i="15"/>
  <c r="P131" i="15"/>
  <c r="P132" i="15"/>
  <c r="P133" i="15"/>
  <c r="P134" i="15"/>
  <c r="P135" i="15"/>
  <c r="P136" i="15"/>
  <c r="P137" i="15"/>
  <c r="P138" i="15"/>
  <c r="P139" i="15"/>
  <c r="P140" i="15"/>
  <c r="P141" i="15"/>
  <c r="P142" i="15"/>
  <c r="P143" i="15"/>
  <c r="P144" i="15"/>
  <c r="P145" i="15"/>
  <c r="P146" i="15"/>
  <c r="P147" i="15"/>
  <c r="P148" i="15"/>
  <c r="P149" i="15"/>
  <c r="P150" i="15"/>
  <c r="P151" i="15"/>
  <c r="P152" i="15"/>
  <c r="P153" i="15"/>
  <c r="P154" i="15"/>
  <c r="P155" i="15"/>
  <c r="P156" i="15"/>
  <c r="P157" i="15"/>
  <c r="P158" i="15"/>
  <c r="P159" i="15"/>
  <c r="P160" i="15"/>
  <c r="P161" i="15"/>
  <c r="P162" i="15"/>
  <c r="P163" i="15"/>
  <c r="P164" i="15"/>
  <c r="P165" i="15"/>
  <c r="P166" i="15"/>
  <c r="P167" i="15"/>
  <c r="P168" i="15"/>
  <c r="P169" i="15"/>
  <c r="P170" i="15"/>
  <c r="P171" i="15"/>
  <c r="P172" i="15"/>
  <c r="P173" i="15"/>
  <c r="P174" i="15"/>
  <c r="P175" i="15"/>
  <c r="P176" i="15"/>
  <c r="P177" i="15"/>
  <c r="P178" i="15"/>
  <c r="P179" i="15"/>
  <c r="P180" i="15"/>
  <c r="P181" i="15"/>
  <c r="P182" i="15"/>
  <c r="P183" i="15"/>
  <c r="P184" i="15"/>
  <c r="P185" i="15"/>
  <c r="P186" i="15"/>
  <c r="P187" i="15"/>
  <c r="P188" i="15"/>
  <c r="P189" i="15"/>
  <c r="P190" i="15"/>
  <c r="P191" i="15"/>
  <c r="P192" i="15"/>
  <c r="P193" i="15"/>
  <c r="P194" i="15"/>
  <c r="P195" i="15"/>
  <c r="P196" i="15"/>
  <c r="P197" i="15"/>
  <c r="P198" i="15"/>
  <c r="P199" i="15"/>
  <c r="P200" i="15"/>
  <c r="P201" i="15"/>
  <c r="P202" i="15"/>
  <c r="P203" i="15"/>
  <c r="P204" i="15"/>
  <c r="P205" i="15"/>
  <c r="P206" i="15"/>
  <c r="P2" i="15"/>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<sst xmlns="http://schemas.openxmlformats.org/spreadsheetml/2006/main" count="2777" uniqueCount="229">
  <si>
    <t>gas</t>
  </si>
  <si>
    <t>std</t>
  </si>
  <si>
    <t>two</t>
  </si>
  <si>
    <t>rwd</t>
  </si>
  <si>
    <t>front</t>
  </si>
  <si>
    <t>four</t>
  </si>
  <si>
    <t>fwd</t>
  </si>
  <si>
    <t>4wd</t>
  </si>
  <si>
    <t>turbo</t>
  </si>
  <si>
    <t>diesel</t>
  </si>
  <si>
    <t>rear</t>
  </si>
  <si>
    <t>Car_ID</t>
  </si>
  <si>
    <t>Unique id of each observation (Interger)</t>
  </si>
  <si>
    <t xml:space="preserve">Symboling </t>
  </si>
  <si>
    <t xml:space="preserve">Its assigned insurance risk rating, A value of +3 indicates that the auto is risky, -3 that it is probably pretty safe.(Categorical) </t>
  </si>
  <si>
    <t>Car fuel type i.e gas or diesel (Categorical)</t>
  </si>
  <si>
    <t>Aspiration used in a car (Categorical)</t>
  </si>
  <si>
    <t>Number of doors in a car (Categorical)</t>
  </si>
  <si>
    <t>type of drive wheel (Categorical)</t>
  </si>
  <si>
    <t>Location of car engine (Categorical)</t>
  </si>
  <si>
    <t>Weelbase of car (Numeric)</t>
  </si>
  <si>
    <t>Length of car (Numeric)</t>
  </si>
  <si>
    <t>Width of car (Numeric)</t>
  </si>
  <si>
    <t>height of car (Numeric)</t>
  </si>
  <si>
    <t>The weight of a car without occupants or baggage. (Numeric)</t>
  </si>
  <si>
    <t>Size of car (Numeric)</t>
  </si>
  <si>
    <t>Boreratio of car (Numeric)</t>
  </si>
  <si>
    <t>Stroke or volume inside the engine (Numeric)</t>
  </si>
  <si>
    <t>compression ratio of car (Numeric)</t>
  </si>
  <si>
    <t>Horsepower (Numeric)</t>
  </si>
  <si>
    <t>car peak rpm (Numeric)</t>
  </si>
  <si>
    <t>Mileage in city (Numeric)</t>
  </si>
  <si>
    <t>Mileage on highway (Numeric)</t>
  </si>
  <si>
    <t>Price of car (Numeric)</t>
  </si>
  <si>
    <t>CONCLUSION</t>
  </si>
  <si>
    <t>*** THIS SECTION WILL BE MARKED ***</t>
  </si>
  <si>
    <t>DUMMY VARIABLES</t>
  </si>
  <si>
    <t>Complete the following table which summarizes the results of your transformation of categorical variables into dummy variables. Use as many rows or columns as necessary.</t>
  </si>
  <si>
    <t>Categorical Variable</t>
  </si>
  <si>
    <t>Number of Dummy IVs Remaining After Transformation</t>
  </si>
  <si>
    <t>Name of Remaining Dummy IVs After Transformation</t>
  </si>
  <si>
    <t>#1</t>
  </si>
  <si>
    <t>#2</t>
  </si>
  <si>
    <t>#3</t>
  </si>
  <si>
    <t>#4</t>
  </si>
  <si>
    <t>#5</t>
  </si>
  <si>
    <t>#6</t>
  </si>
  <si>
    <t>#7</t>
  </si>
  <si>
    <t>#8</t>
  </si>
  <si>
    <t>UNCORRELATED INDEPENDENT VARIABLES</t>
  </si>
  <si>
    <t>Complete the following table which summarizes the independent variables which have been eliminated from the regression model due to being (virtually) uncorrelated with the Dependent Variable .</t>
  </si>
  <si>
    <t>Independent Variable Eliminated</t>
  </si>
  <si>
    <t>Correlation Coefficient
(with DV)</t>
  </si>
  <si>
    <t>MULTI-COLLINEARITY</t>
  </si>
  <si>
    <t>Complete the following table which summarizes the independent variables (IVs) which have been eliminated from the regression model due to multi-collinearity (strongly correlated with each other).</t>
  </si>
  <si>
    <t>Add rows to the table if necessary or leave extra rows empty.</t>
  </si>
  <si>
    <t>Ignore independent variables already removed from the model due to being uncorrelated with the Dependent Variable.</t>
  </si>
  <si>
    <t>Strongly Correlated Independent Variables</t>
  </si>
  <si>
    <t>Correlation Coefficient of the Two IVs</t>
  </si>
  <si>
    <t>Correlation Coefficient of each IV with the DV</t>
  </si>
  <si>
    <t>Name of Independent Variable Eliminated from the Regression Model</t>
  </si>
  <si>
    <t>First Pair of IVs</t>
  </si>
  <si>
    <t>Second Pair of IVs</t>
  </si>
  <si>
    <t>Third Pair of IVs</t>
  </si>
  <si>
    <t>CORRELATION TABLE</t>
  </si>
  <si>
    <t>Using the “Correlation” option in Excel’s Data Analysis ToolPak generate a correlation table.</t>
  </si>
  <si>
    <t>SCATTER DIAGRAMS</t>
  </si>
  <si>
    <t>Generate three scatter diagrams. Format each diagram, and include a linear trendline:</t>
  </si>
  <si>
    <t>WORKINGS</t>
  </si>
  <si>
    <t>*** This section will NOT be marked ***</t>
  </si>
  <si>
    <t>Symboling</t>
  </si>
  <si>
    <t>Wheelbase</t>
  </si>
  <si>
    <t>Carlength</t>
  </si>
  <si>
    <t>Carwidth</t>
  </si>
  <si>
    <t>Carheight</t>
  </si>
  <si>
    <t>Curbweight</t>
  </si>
  <si>
    <t>Enginesize</t>
  </si>
  <si>
    <t>Boreratio</t>
  </si>
  <si>
    <t>Stroke</t>
  </si>
  <si>
    <t>Compressionratio</t>
  </si>
  <si>
    <t>Horsepower</t>
  </si>
  <si>
    <t>Peakrpm</t>
  </si>
  <si>
    <t>Citympg</t>
  </si>
  <si>
    <t>Highwaympg</t>
  </si>
  <si>
    <t>Price</t>
  </si>
  <si>
    <t>Fueltype</t>
  </si>
  <si>
    <t>Aspiration</t>
  </si>
  <si>
    <t>Doornumber</t>
  </si>
  <si>
    <t>Drivewheel</t>
  </si>
  <si>
    <t>Enginelocation</t>
  </si>
  <si>
    <t>Price(Dependent Variable)</t>
  </si>
  <si>
    <t>Fourth Pair of IVs</t>
  </si>
  <si>
    <t>Fifth Pair of IVs</t>
  </si>
  <si>
    <t>Sixth Pair of IVs</t>
  </si>
  <si>
    <t>EQUATION</t>
  </si>
  <si>
    <t>Based on your final regression ("Regression" worksheet) write the final model (where all remaining independent variables are statistically significant). Use the number of variables appropriate to your final regression model. Add or delete extra columns if needed.</t>
  </si>
  <si>
    <r>
      <t>b</t>
    </r>
    <r>
      <rPr>
        <vertAlign val="subscript"/>
        <sz val="12"/>
        <rFont val="Aptos Narrow"/>
        <family val="2"/>
        <scheme val="minor"/>
      </rPr>
      <t>0</t>
    </r>
    <r>
      <rPr>
        <sz val="12"/>
        <rFont val="Aptos Narrow"/>
        <family val="2"/>
        <scheme val="minor"/>
      </rPr>
      <t xml:space="preserve"> +</t>
    </r>
  </si>
  <si>
    <r>
      <t>b</t>
    </r>
    <r>
      <rPr>
        <vertAlign val="subscript"/>
        <sz val="12"/>
        <rFont val="Aptos Narrow"/>
        <family val="2"/>
        <scheme val="minor"/>
      </rPr>
      <t>1 *</t>
    </r>
  </si>
  <si>
    <r>
      <t>X</t>
    </r>
    <r>
      <rPr>
        <vertAlign val="subscript"/>
        <sz val="12"/>
        <rFont val="Aptos Narrow"/>
        <family val="2"/>
        <scheme val="minor"/>
      </rPr>
      <t>1</t>
    </r>
    <r>
      <rPr>
        <sz val="12"/>
        <rFont val="Aptos Narrow"/>
        <family val="2"/>
        <scheme val="minor"/>
      </rPr>
      <t xml:space="preserve"> +</t>
    </r>
  </si>
  <si>
    <r>
      <t>b</t>
    </r>
    <r>
      <rPr>
        <vertAlign val="subscript"/>
        <sz val="12"/>
        <rFont val="Aptos Narrow"/>
        <family val="2"/>
        <scheme val="minor"/>
      </rPr>
      <t>2 *</t>
    </r>
  </si>
  <si>
    <r>
      <t>X</t>
    </r>
    <r>
      <rPr>
        <vertAlign val="subscript"/>
        <sz val="12"/>
        <rFont val="Aptos Narrow"/>
        <family val="2"/>
        <scheme val="minor"/>
      </rPr>
      <t>2</t>
    </r>
    <r>
      <rPr>
        <sz val="12"/>
        <rFont val="Aptos Narrow"/>
        <family val="2"/>
        <scheme val="minor"/>
      </rPr>
      <t xml:space="preserve"> +</t>
    </r>
  </si>
  <si>
    <r>
      <t>b</t>
    </r>
    <r>
      <rPr>
        <vertAlign val="subscript"/>
        <sz val="12"/>
        <rFont val="Aptos Narrow"/>
        <family val="2"/>
        <scheme val="minor"/>
      </rPr>
      <t>3 *</t>
    </r>
  </si>
  <si>
    <r>
      <t>X</t>
    </r>
    <r>
      <rPr>
        <vertAlign val="subscript"/>
        <sz val="12"/>
        <rFont val="Aptos Narrow"/>
        <family val="2"/>
        <scheme val="minor"/>
      </rPr>
      <t>3</t>
    </r>
    <r>
      <rPr>
        <sz val="12"/>
        <rFont val="Aptos Narrow"/>
        <family val="2"/>
        <scheme val="minor"/>
      </rPr>
      <t xml:space="preserve"> +</t>
    </r>
  </si>
  <si>
    <t>MODEL</t>
  </si>
  <si>
    <t>Copy the Summary Output of your final regression and paste in this section. This is the final regression model (where all remaining independent variables are statistically significant)</t>
  </si>
  <si>
    <t>There is no need for any calculations.</t>
  </si>
  <si>
    <t>PREDICTIONS</t>
  </si>
  <si>
    <t>CONFIDENCE INTERVAL</t>
  </si>
  <si>
    <t>Upper limit</t>
  </si>
  <si>
    <t>Lower limit</t>
  </si>
  <si>
    <t>PREDICTION INTERVAL</t>
  </si>
  <si>
    <t xml:space="preserve">POINT ESTIMATE = </t>
  </si>
  <si>
    <t>Date</t>
  </si>
  <si>
    <t>Stock Volume: Number of shares traded on that day</t>
  </si>
  <si>
    <t>Seventh Pair of IVs</t>
  </si>
  <si>
    <t>Ŷ</t>
  </si>
  <si>
    <t>=</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</si>
  <si>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</si>
  <si>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</si>
  <si>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</si>
  <si>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</si>
  <si>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</si>
  <si>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</si>
  <si>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</si>
  <si>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</si>
  <si>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</si>
  <si>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</si>
  <si>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</si>
  <si>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</si>
  <si>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</si>
  <si>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</si>
  <si>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</si>
  <si>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</si>
  <si>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</si>
  <si>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</si>
  <si>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</si>
  <si>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</si>
  <si>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</si>
  <si>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</si>
  <si>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</si>
  <si>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</si>
  <si>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t>
  </si>
  <si>
    <r>
      <t>b</t>
    </r>
    <r>
      <rPr>
        <sz val="9"/>
        <rFont val="Aptos Narrow (Body)"/>
      </rPr>
      <t>4</t>
    </r>
    <r>
      <rPr>
        <sz val="12"/>
        <rFont val="Aptos Narrow"/>
        <family val="2"/>
        <scheme val="minor"/>
      </rPr>
      <t>*</t>
    </r>
  </si>
  <si>
    <r>
      <t>X</t>
    </r>
    <r>
      <rPr>
        <sz val="9"/>
        <rFont val="Aptos Narrow (Body)"/>
      </rPr>
      <t>4+</t>
    </r>
  </si>
  <si>
    <r>
      <t>b</t>
    </r>
    <r>
      <rPr>
        <sz val="9"/>
        <rFont val="Aptos Narrow (Body)"/>
      </rPr>
      <t>5*</t>
    </r>
  </si>
  <si>
    <r>
      <t>X</t>
    </r>
    <r>
      <rPr>
        <sz val="9"/>
        <rFont val="Aptos Narrow (Body)"/>
      </rPr>
      <t>5+</t>
    </r>
  </si>
  <si>
    <r>
      <t>b</t>
    </r>
    <r>
      <rPr>
        <sz val="9"/>
        <rFont val="Aptos Narrow (Body)"/>
      </rPr>
      <t>6*</t>
    </r>
  </si>
  <si>
    <r>
      <t>X</t>
    </r>
    <r>
      <rPr>
        <sz val="9"/>
        <rFont val="Aptos Narrow (Body)"/>
      </rPr>
      <t>6+</t>
    </r>
  </si>
  <si>
    <r>
      <t>b</t>
    </r>
    <r>
      <rPr>
        <sz val="9"/>
        <rFont val="Aptos Narrow (Body)"/>
      </rPr>
      <t>7*</t>
    </r>
  </si>
  <si>
    <r>
      <t>X</t>
    </r>
    <r>
      <rPr>
        <sz val="9"/>
        <rFont val="Aptos Narrow (Body)"/>
      </rPr>
      <t>7+</t>
    </r>
  </si>
  <si>
    <r>
      <t>b</t>
    </r>
    <r>
      <rPr>
        <sz val="9"/>
        <rFont val="Aptos Narrow (Body)"/>
      </rPr>
      <t>8*</t>
    </r>
  </si>
  <si>
    <r>
      <t>X</t>
    </r>
    <r>
      <rPr>
        <sz val="9"/>
        <rFont val="Aptos Narrow (Body)"/>
      </rPr>
      <t>8+</t>
    </r>
  </si>
  <si>
    <t>Independent Variable</t>
  </si>
  <si>
    <t>Scenario</t>
  </si>
  <si>
    <t xml:space="preserve">Prediction Interval </t>
  </si>
  <si>
    <t>Point-Estimate</t>
  </si>
  <si>
    <t>alpha</t>
  </si>
  <si>
    <t>T-Value</t>
  </si>
  <si>
    <t>Lower-Limit</t>
  </si>
  <si>
    <t>Upper-Limit</t>
  </si>
  <si>
    <t>Standard-Error</t>
  </si>
  <si>
    <t>Value</t>
  </si>
  <si>
    <t>Confidence-Interval</t>
  </si>
  <si>
    <t>Log(Stock Number of shares</t>
  </si>
  <si>
    <t>Q1</t>
  </si>
  <si>
    <t>Q2</t>
  </si>
  <si>
    <t>Q3</t>
  </si>
  <si>
    <t>b0</t>
  </si>
  <si>
    <t>b1</t>
  </si>
  <si>
    <t>b2</t>
  </si>
  <si>
    <t>b3</t>
  </si>
  <si>
    <t>B0</t>
  </si>
  <si>
    <t>B1</t>
  </si>
  <si>
    <t>B2</t>
  </si>
  <si>
    <t>B3</t>
  </si>
  <si>
    <t>B4</t>
  </si>
  <si>
    <t>CarPrice</t>
  </si>
  <si>
    <t>Term</t>
  </si>
  <si>
    <t>Interpretation (Plain Language)</t>
  </si>
  <si>
    <t>Ŷ</t>
  </si>
  <si>
    <t>Predicted Car Price</t>
  </si>
  <si>
    <t>–</t>
  </si>
  <si>
    <t>This is what we’re trying to estimate: the car’s selling price.</t>
  </si>
  <si>
    <t>b₀</t>
  </si>
  <si>
    <t>Intercept (starting value)</t>
  </si>
  <si>
    <t>Base value when all features are zero. Used for calculation only, not meaningful alone.</t>
  </si>
  <si>
    <t>b₁x₁</t>
  </si>
  <si>
    <t>Car Height</t>
  </si>
  <si>
    <t>Each 1 inch increase in car height adds $279.23 to price.</t>
  </si>
  <si>
    <t>b₂x₂</t>
  </si>
  <si>
    <t>Engine Size</t>
  </si>
  <si>
    <t>Each 1 cc increase in engine size adds $156.68 to the car price.</t>
  </si>
  <si>
    <t>b₃x₃</t>
  </si>
  <si>
    <t>Each 1 unit increase in stroke reduces car price by $1,921.99.</t>
  </si>
  <si>
    <t>b₄x₄</t>
  </si>
  <si>
    <t>Peak RPM</t>
  </si>
  <si>
    <t>Small effect—each 1 unit increase in RPM increases price by $3.22.</t>
  </si>
  <si>
    <t>b₅x₅</t>
  </si>
  <si>
    <t>Diesel (1 = Yes, 0 = No)</t>
  </si>
  <si>
    <t>Diesel cars cost $2,491.55 more than non-diesel cars.</t>
  </si>
  <si>
    <t>b₆x₆</t>
  </si>
  <si>
    <t>Turbo (1 = Yes, 0 = No)</t>
  </si>
  <si>
    <t>Turbo cars are $1,693.89 more expensive than non-turbo cars.</t>
  </si>
  <si>
    <t>b₇x₇</t>
  </si>
  <si>
    <t>FWD (Front-Wheel Drive) (1 = Yes, 0 = No)</t>
  </si>
  <si>
    <t>FWD cars cost $2,395.92 less than other drive types.</t>
  </si>
  <si>
    <t>b₈x₈</t>
  </si>
  <si>
    <t>Rear (Rear-Wheel Drive) (1 = Yes, 0 = No)</t>
  </si>
  <si>
    <t>Rear-wheel drive cars are $7,407.94 more expensive than others.</t>
  </si>
  <si>
    <t>Meaning</t>
  </si>
  <si>
    <t>standard-Error</t>
  </si>
  <si>
    <t>degree-of-freedom</t>
  </si>
  <si>
    <t>number of observation</t>
  </si>
  <si>
    <t>Predicted log(y)</t>
  </si>
  <si>
    <t>Forecasted Volume (Shares)</t>
  </si>
  <si>
    <t>Quarterly Forecast Periods</t>
  </si>
  <si>
    <t>Metrics</t>
  </si>
  <si>
    <t>Metric</t>
  </si>
  <si>
    <t>Values</t>
  </si>
  <si>
    <t>Tenth Pair of IVs</t>
  </si>
  <si>
    <t>Eleventh Pair of IVs</t>
  </si>
  <si>
    <t>Thirtennth Pair of IVs</t>
  </si>
  <si>
    <t>Ninth Pair of IVs</t>
  </si>
  <si>
    <t>Eighth Pair of IVs</t>
  </si>
  <si>
    <t>Twelfth Pair of IVs</t>
  </si>
  <si>
    <t>Fourteenth Pair of IVs</t>
  </si>
  <si>
    <t>Ffteenthth Pair of IVs</t>
  </si>
  <si>
    <t>Sixteenthth Pair of IVs</t>
  </si>
  <si>
    <t>Seventeenth Pair of IVs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</si>
</sst>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00"/>
    <numFmt numFmtId="167" formatCode="0.000"/>
    <numFmt numFmtId="168" formatCode="0.0"/>
    <numFmt numFmtId="169" formatCode="_-* #,##0.00_-;\-* #,##0.00_-;_-* &quot;-&quot;??_-;_-@_-"/>
  </numFmts>
  <fonts count="52">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i/>
      <sz val="12"/>
      <color theme="1"/>
      <name val="Aptos Narrow"/>
      <family val="2"/>
      <scheme val="minor"/>
    </font>
    <font>
      <sz val="11"/>
      <color theme="1"/>
      <name val="Aptos Narrow"/>
      <family val="2"/>
      <scheme val="minor"/>
    </font>
    <font>
      <b/>
      <sz val="14"/>
      <color theme="1"/>
      <name val="Aptos Narrow"/>
      <family val="2"/>
      <scheme val="minor"/>
    </font>
    <font>
      <sz val="14"/>
      <color theme="1"/>
      <name val="Aptos Narrow"/>
      <family val="2"/>
      <scheme val="minor"/>
    </font>
    <font>
      <b/>
      <sz val="14"/>
      <color rgb="FFC00000"/>
      <name val="Aptos Narrow"/>
      <family val="2"/>
      <scheme val="minor"/>
    </font>
    <font>
      <sz val="14"/>
      <color rgb="FFFF0000"/>
      <name val="Aptos Narrow"/>
      <family val="2"/>
      <scheme val="minor"/>
    </font>
    <font>
      <i/>
      <sz val="14"/>
      <color theme="8" tint="-0.249977111117893"/>
      <name val="Aptos Narrow"/>
      <family val="2"/>
      <scheme val="minor"/>
    </font>
    <font>
      <sz val="14"/>
      <name val="Aptos Narrow"/>
      <family val="2"/>
      <scheme val="minor"/>
    </font>
    <font>
      <b/>
      <sz val="14"/>
      <name val="Aptos Narrow"/>
      <family val="2"/>
      <scheme val="minor"/>
    </font>
    <font>
      <b/>
      <sz val="14"/>
      <color rgb="FFFF0000"/>
      <name val="Aptos Narrow"/>
      <family val="2"/>
      <scheme val="minor"/>
    </font>
    <font>
      <sz val="14"/>
      <color rgb="FF4472C4"/>
      <name val="Aptos Narrow"/>
      <family val="2"/>
      <scheme val="minor"/>
    </font>
    <font>
      <sz val="10"/>
      <color theme="1"/>
      <name val="Articulate"/>
      <family val="2"/>
    </font>
    <font>
      <b/>
      <sz val="11"/>
      <color theme="1"/>
      <name val="Aptos Narrow"/>
      <family val="2"/>
      <scheme val="minor"/>
    </font>
    <font>
      <sz val="14"/>
      <color theme="4"/>
      <name val="Aptos Narrow"/>
      <family val="2"/>
      <scheme val="minor"/>
    </font>
    <font>
      <sz val="12"/>
      <color rgb="FF000000"/>
      <name val="Aptos Narrow"/>
    </font>
    <font>
      <b/>
      <sz val="12"/>
      <color theme="1"/>
      <name val="Aptos Narrow"/>
      <scheme val="minor"/>
    </font>
    <font>
      <i/>
      <sz val="12"/>
      <color theme="8" tint="-0.249977111117893"/>
      <name val="Aptos Narrow"/>
      <family val="2"/>
      <scheme val="minor"/>
    </font>
    <font>
      <sz val="12"/>
      <name val="Aptos Narrow"/>
      <family val="2"/>
      <scheme val="minor"/>
    </font>
    <font>
      <vertAlign val="subscript"/>
      <sz val="12"/>
      <name val="Aptos Narrow"/>
      <family val="2"/>
      <scheme val="minor"/>
    </font>
    <font>
      <sz val="12"/>
      <name val="Arial"/>
      <family val="2"/>
    </font>
    <font>
      <b/>
      <sz val="14"/>
      <color theme="0"/>
      <name val="Aptos Narrow"/>
      <family val="2"/>
      <scheme val="minor"/>
    </font>
    <font>
      <i/>
      <sz val="10"/>
      <color theme="1"/>
      <name val="Aptos Narrow"/>
      <family val="2"/>
      <scheme val="minor"/>
    </font>
    <font>
      <sz val="12"/>
      <color rgb="FFC00000"/>
      <name val="Aptos Narrow"/>
      <family val="2"/>
      <scheme val="minor"/>
    </font>
    <font>
      <b/>
      <sz val="12"/>
      <color rgb="FF000000"/>
      <name val="Aptos Narrow"/>
      <family val="2"/>
    </font>
    <font>
      <sz val="12"/>
      <color rgb="FF000000"/>
      <name val="Aptos Narrow"/>
      <scheme val="minor"/>
    </font>
    <font>
      <sz val="12"/>
      <color rgb="FF000000"/>
      <name val="Aptos Narrow"/>
      <family val="2"/>
      <scheme val="minor"/>
    </font>
    <font>
      <sz val="12"/>
      <color rgb="FFC00000"/>
      <name val="Aptos Narrow (Body)"/>
    </font>
    <font>
      <sz val="12"/>
      <color theme="1"/>
      <name val="Aptos Narrow"/>
      <scheme val="minor"/>
    </font>
    <font>
      <sz val="12"/>
      <color theme="1" tint="4.9989318521683403E-2"/>
      <name val="Aptos Narrow"/>
      <family val="2"/>
      <scheme val="minor"/>
    </font>
    <font>
      <sz val="9"/>
      <name val="Aptos Narrow (Body)"/>
    </font>
    <font>
      <i/>
      <sz val="12"/>
      <color theme="1"/>
      <name val="Helvetica"/>
      <family val="2"/>
    </font>
    <font>
      <sz val="12"/>
      <color theme="6"/>
      <name val="Aptos Narrow"/>
      <family val="2"/>
      <scheme val="minor"/>
    </font>
    <font>
      <sz val="12"/>
      <color rgb="FFFFC000"/>
      <name val="Aptos Narrow"/>
      <family val="2"/>
      <scheme val="minor"/>
    </font>
    <font>
      <sz val="14"/>
      <color theme="0"/>
      <name val="Aptos Narrow"/>
      <family val="2"/>
      <scheme val="minor"/>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FFC000"/>
        <bgColor indexed="64"/>
      </patternFill>
    </fill>
    <fill>
      <patternFill patternType="solid">
        <fgColor theme="6" tint="0.39997558519241921"/>
        <bgColor indexed="64"/>
      </patternFill>
    </fill>
    <fill>
      <patternFill patternType="solid">
        <fgColor theme="5" tint="0.39997558519241921"/>
        <bgColor indexed="64"/>
      </patternFill>
    </fill>
    <fill>
      <patternFill patternType="solid">
        <fgColor theme="6"/>
        <bgColor indexed="64"/>
      </patternFill>
    </fill>
    <fill>
      <patternFill patternType="solid">
        <fgColor rgb="FFFF0000"/>
        <bgColor indexed="64"/>
      </patternFill>
    </fill>
    <fill>
      <patternFill patternType="solid">
        <fgColor theme="6" tint="0.59999389629810485"/>
        <bgColor indexed="64"/>
      </patternFill>
    </fill>
    <fill>
      <patternFill patternType="solid">
        <fgColor rgb="FFFF5D00"/>
        <bgColor indexed="64"/>
      </patternFill>
    </fill>
    <fill>
      <patternFill patternType="solid">
        <fgColor rgb="FF00DEFF"/>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rgb="FFE97700"/>
        <bgColor indexed="64"/>
      </patternFill>
    </fill>
    <fill>
      <patternFill patternType="solid">
        <fgColor theme="4"/>
        <bgColor theme="4" tint="0.79998168889431442"/>
      </patternFill>
    </fill>
    <fill>
      <patternFill patternType="solid">
        <fgColor theme="4"/>
        <bgColor indexed="64"/>
      </patternFill>
    </fill>
    <fill>
      <patternFill patternType="solid">
        <fgColor rgb="FFFFFF00"/>
        <bgColor indexed="64"/>
      </patternFill>
    </fill>
    <fill>
      <patternFill patternType="solid">
        <fgColor rgb="FF1EFF00"/>
        <bgColor indexed="64"/>
      </patternFill>
    </fill>
  </fills>
  <borders count="5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top/>
      <bottom style="thin">
        <color indexed="64"/>
      </bottom>
      <diagonal/>
    </border>
    <border>
      <left style="medium">
        <color indexed="64"/>
      </left>
      <right/>
      <top/>
      <bottom/>
      <diagonal/>
    </border>
    <border>
      <left/>
      <right style="medium">
        <color indexed="64"/>
      </right>
      <top/>
      <bottom/>
      <diagonal/>
    </border>
    <border>
      <left style="thin">
        <color indexed="64"/>
      </left>
      <right/>
      <top style="thin">
        <color indexed="64"/>
      </top>
      <bottom/>
      <diagonal/>
    </border>
    <border>
      <left/>
      <right/>
      <top style="thin">
        <color auto="1"/>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hair">
        <color auto="1"/>
      </top>
      <bottom style="thin">
        <color indexed="64"/>
      </bottom>
      <diagonal/>
    </border>
    <border>
      <left style="hair">
        <color auto="1"/>
      </left>
      <right/>
      <top style="hair">
        <color auto="1"/>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diagonal/>
    </border>
    <border>
      <left/>
      <right style="thin">
        <color indexed="64"/>
      </right>
      <top/>
      <bottom/>
      <diagonal/>
    </border>
    <border>
      <left/>
      <right style="hair">
        <color auto="1"/>
      </right>
      <top/>
      <bottom/>
      <diagonal/>
    </border>
    <border>
      <left style="hair">
        <color auto="1"/>
      </left>
      <right/>
      <top/>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style="hair">
        <color auto="1"/>
      </right>
      <top style="hair">
        <color indexed="64"/>
      </top>
      <bottom style="hair">
        <color indexed="64"/>
      </bottom>
      <diagonal/>
    </border>
    <border>
      <left style="hair">
        <color auto="1"/>
      </left>
      <right/>
      <top style="hair">
        <color indexed="64"/>
      </top>
      <bottom style="hair">
        <color indexed="64"/>
      </bottom>
      <diagonal/>
    </border>
    <border>
      <left/>
      <right style="hair">
        <color auto="1"/>
      </right>
      <top/>
      <bottom style="thin">
        <color indexed="64"/>
      </bottom>
      <diagonal/>
    </border>
    <border>
      <left/>
      <right style="hair">
        <color auto="1"/>
      </right>
      <top style="hair">
        <color auto="1"/>
      </top>
      <bottom style="thin">
        <color indexed="64"/>
      </bottom>
      <diagonal/>
    </border>
    <border>
      <left style="hair">
        <color auto="1"/>
      </left>
      <right/>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style="thin">
        <color indexed="64"/>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style="medium">
        <color indexed="64"/>
      </top>
      <bottom style="thin">
        <color indexed="64"/>
      </bottom>
      <diagonal/>
    </border>
  </borders>
  <cellStyleXfs count="48">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xf numFmtId="0" fontId="29" fillId="0" borderId="0"/>
    <xf numFmtId="9" fontId="19" fillId="0" borderId="0" applyFont="0" applyFill="0" applyBorder="0" applyAlignment="0" applyProtection="0"/>
    <xf numFmtId="169" fontId="29" fillId="0" borderId="0" applyFont="0" applyFill="0" applyBorder="0" applyAlignment="0" applyProtection="0"/>
    <xf numFmtId="0" fontId="19" fillId="0" borderId="0"/>
    <xf numFmtId="0" fontId="29" fillId="0" borderId="0"/>
  </cellStyleXfs>
  <cellXfs count="410">
    <xf numFmtId="0" fontId="0" fillId="0" borderId="0" xfId="0"/>
    <xf numFmtId="4" fontId="20" fillId="0" borderId="0" xfId="42" applyNumberFormat="1" applyFont="1" applyAlignment="1">
      <alignment horizontal="left" vertical="center"/>
    </xf>
    <xf numFmtId="0" fontId="21" fillId="0" borderId="0" xfId="42" applyFont="1" applyAlignment="1">
      <alignment horizontal="center" vertical="center"/>
    </xf>
    <xf numFmtId="4" fontId="22" fillId="0" borderId="0" xfId="42" applyNumberFormat="1" applyFont="1" applyAlignment="1">
      <alignment horizontal="left" vertical="center"/>
    </xf>
    <xf numFmtId="4" fontId="21" fillId="0" borderId="0" xfId="42" applyNumberFormat="1" applyFont="1" applyAlignment="1">
      <alignment horizontal="center" vertical="center"/>
    </xf>
    <xf numFmtId="0" fontId="20" fillId="0" borderId="0" xfId="42" applyFont="1" applyAlignment="1">
      <alignment horizontal="center" vertical="center"/>
    </xf>
    <xf numFmtId="4" fontId="20" fillId="0" borderId="10" xfId="42" applyNumberFormat="1" applyFont="1" applyBorder="1" applyAlignment="1">
      <alignment horizontal="left" vertical="center"/>
    </xf>
    <xf numFmtId="4" fontId="20" fillId="0" borderId="11" xfId="42" applyNumberFormat="1" applyFont="1" applyBorder="1" applyAlignment="1">
      <alignment horizontal="center" vertical="center"/>
    </xf>
    <xf numFmtId="4" fontId="20" fillId="0" borderId="11" xfId="42" applyNumberFormat="1" applyFont="1" applyBorder="1" applyAlignment="1">
      <alignment horizontal="left" vertical="center"/>
    </xf>
    <xf numFmtId="4" fontId="20" fillId="0" borderId="12" xfId="42" applyNumberFormat="1" applyFont="1" applyBorder="1" applyAlignment="1">
      <alignment horizontal="center" vertical="center"/>
    </xf>
    <xf numFmtId="4" fontId="20" fillId="0" borderId="0" xfId="42" applyNumberFormat="1" applyFont="1" applyAlignment="1">
      <alignment horizontal="center" vertical="center"/>
    </xf>
    <xf numFmtId="4" fontId="21" fillId="0" borderId="0" xfId="42" applyNumberFormat="1" applyFont="1" applyAlignment="1">
      <alignment horizontal="left" vertical="center"/>
    </xf>
    <xf numFmtId="4" fontId="21" fillId="0" borderId="18" xfId="42" applyNumberFormat="1" applyFont="1" applyBorder="1" applyAlignment="1">
      <alignment horizontal="left" vertical="center"/>
    </xf>
    <xf numFmtId="4" fontId="23" fillId="0" borderId="0" xfId="42" applyNumberFormat="1" applyFont="1" applyAlignment="1">
      <alignment horizontal="center" vertical="center"/>
    </xf>
    <xf numFmtId="4" fontId="21" fillId="0" borderId="19" xfId="42" applyNumberFormat="1" applyFont="1" applyBorder="1" applyAlignment="1">
      <alignment horizontal="center" vertical="center"/>
    </xf>
    <xf numFmtId="0" fontId="21" fillId="0" borderId="0" xfId="42" applyFont="1" applyAlignment="1">
      <alignment horizontal="center" vertical="center" wrapText="1"/>
    </xf>
    <xf numFmtId="4" fontId="24" fillId="0" borderId="0" xfId="42" applyNumberFormat="1" applyFont="1" applyAlignment="1">
      <alignment horizontal="left" vertical="center"/>
    </xf>
    <xf numFmtId="4" fontId="25" fillId="0" borderId="0" xfId="42" applyNumberFormat="1" applyFont="1" applyAlignment="1">
      <alignment vertical="center"/>
    </xf>
    <xf numFmtId="4" fontId="25" fillId="0" borderId="18" xfId="42" applyNumberFormat="1" applyFont="1" applyBorder="1" applyAlignment="1">
      <alignment vertical="center"/>
    </xf>
    <xf numFmtId="0" fontId="26" fillId="0" borderId="0" xfId="42" quotePrefix="1" applyFont="1" applyAlignment="1">
      <alignment horizontal="center" vertical="center"/>
    </xf>
    <xf numFmtId="0" fontId="25" fillId="0" borderId="19" xfId="42" quotePrefix="1" applyFont="1" applyBorder="1" applyAlignment="1">
      <alignment horizontal="center" vertical="center"/>
    </xf>
    <xf numFmtId="0" fontId="25" fillId="0" borderId="0" xfId="42" quotePrefix="1" applyFont="1" applyAlignment="1">
      <alignment horizontal="center" vertical="center"/>
    </xf>
    <xf numFmtId="4" fontId="26" fillId="0" borderId="25" xfId="42" applyNumberFormat="1" applyFont="1" applyBorder="1" applyAlignment="1">
      <alignment vertical="center"/>
    </xf>
    <xf numFmtId="4" fontId="26" fillId="0" borderId="26" xfId="42" applyNumberFormat="1" applyFont="1" applyBorder="1" applyAlignment="1">
      <alignment vertical="center"/>
    </xf>
    <xf numFmtId="4" fontId="26" fillId="0" borderId="27" xfId="42" applyNumberFormat="1" applyFont="1" applyBorder="1" applyAlignment="1">
      <alignment vertical="center"/>
    </xf>
    <xf numFmtId="4" fontId="26" fillId="0" borderId="28" xfId="42" applyNumberFormat="1" applyFont="1" applyBorder="1" applyAlignment="1">
      <alignment vertical="center"/>
    </xf>
    <xf numFmtId="4" fontId="26" fillId="0" borderId="0" xfId="42" applyNumberFormat="1" applyFont="1" applyAlignment="1">
      <alignment horizontal="center" vertical="center"/>
    </xf>
    <xf numFmtId="4" fontId="25" fillId="0" borderId="19" xfId="42" applyNumberFormat="1" applyFont="1" applyBorder="1" applyAlignment="1">
      <alignment horizontal="center" vertical="center"/>
    </xf>
    <xf numFmtId="4" fontId="25" fillId="0" borderId="0" xfId="42" applyNumberFormat="1" applyFont="1" applyAlignment="1">
      <alignment horizontal="center" vertical="center"/>
    </xf>
    <xf numFmtId="0" fontId="25" fillId="0" borderId="0" xfId="42" applyFont="1" applyAlignment="1">
      <alignment horizontal="center" vertical="center"/>
    </xf>
    <xf numFmtId="164" fontId="25" fillId="0" borderId="29" xfId="42" applyNumberFormat="1" applyFont="1" applyBorder="1" applyAlignment="1">
      <alignment vertical="center"/>
    </xf>
    <xf numFmtId="164" fontId="25" fillId="0" borderId="31" xfId="42" applyNumberFormat="1" applyFont="1" applyBorder="1" applyAlignment="1">
      <alignment vertical="center"/>
    </xf>
    <xf numFmtId="164" fontId="25" fillId="0" borderId="32" xfId="42" applyNumberFormat="1" applyFont="1" applyBorder="1" applyAlignment="1">
      <alignment vertical="center"/>
    </xf>
    <xf numFmtId="0" fontId="25" fillId="0" borderId="0" xfId="42" applyFont="1" applyAlignment="1">
      <alignment vertical="center"/>
    </xf>
    <xf numFmtId="0" fontId="25" fillId="0" borderId="30" xfId="42" applyFont="1" applyBorder="1" applyAlignment="1">
      <alignment vertical="center"/>
    </xf>
    <xf numFmtId="0" fontId="25" fillId="0" borderId="19" xfId="42" applyFont="1" applyBorder="1" applyAlignment="1">
      <alignment horizontal="center" vertical="center"/>
    </xf>
    <xf numFmtId="164" fontId="25" fillId="0" borderId="33" xfId="42" applyNumberFormat="1" applyFont="1" applyBorder="1" applyAlignment="1">
      <alignment vertical="center"/>
    </xf>
    <xf numFmtId="164" fontId="25" fillId="0" borderId="36" xfId="42" applyNumberFormat="1" applyFont="1" applyBorder="1" applyAlignment="1">
      <alignment vertical="center"/>
    </xf>
    <xf numFmtId="164" fontId="25" fillId="0" borderId="37" xfId="42" applyNumberFormat="1" applyFont="1" applyBorder="1" applyAlignment="1">
      <alignment vertical="center"/>
    </xf>
    <xf numFmtId="0" fontId="25" fillId="0" borderId="37" xfId="42" applyFont="1" applyBorder="1" applyAlignment="1">
      <alignment vertical="center"/>
    </xf>
    <xf numFmtId="0" fontId="25" fillId="0" borderId="36" xfId="42" applyFont="1" applyBorder="1" applyAlignment="1">
      <alignment vertical="center"/>
    </xf>
    <xf numFmtId="0" fontId="25" fillId="0" borderId="34" xfId="42" applyFont="1" applyBorder="1" applyAlignment="1">
      <alignment vertical="center"/>
    </xf>
    <xf numFmtId="0" fontId="25" fillId="0" borderId="35" xfId="42" applyFont="1" applyBorder="1" applyAlignment="1">
      <alignment vertical="center"/>
    </xf>
    <xf numFmtId="0" fontId="25" fillId="0" borderId="32" xfId="42" applyFont="1" applyBorder="1" applyAlignment="1">
      <alignment vertical="center"/>
    </xf>
    <xf numFmtId="0" fontId="25" fillId="0" borderId="31" xfId="42" applyFont="1" applyBorder="1" applyAlignment="1">
      <alignment vertical="center"/>
    </xf>
    <xf numFmtId="0" fontId="21" fillId="0" borderId="23" xfId="42" applyFont="1" applyBorder="1" applyAlignment="1">
      <alignment vertical="center"/>
    </xf>
    <xf numFmtId="0" fontId="21" fillId="0" borderId="38" xfId="42" applyFont="1" applyBorder="1" applyAlignment="1">
      <alignment vertical="center"/>
    </xf>
    <xf numFmtId="0" fontId="21" fillId="0" borderId="26" xfId="42" applyFont="1" applyBorder="1" applyAlignment="1">
      <alignment vertical="center"/>
    </xf>
    <xf numFmtId="0" fontId="21" fillId="0" borderId="39" xfId="42" applyFont="1" applyBorder="1" applyAlignment="1">
      <alignment vertical="center"/>
    </xf>
    <xf numFmtId="0" fontId="21" fillId="0" borderId="40" xfId="42" applyFont="1" applyBorder="1" applyAlignment="1">
      <alignment vertical="center"/>
    </xf>
    <xf numFmtId="0" fontId="21" fillId="0" borderId="17" xfId="42" applyFont="1" applyBorder="1" applyAlignment="1">
      <alignment vertical="center"/>
    </xf>
    <xf numFmtId="0" fontId="21" fillId="0" borderId="24" xfId="42" applyFont="1" applyBorder="1" applyAlignment="1">
      <alignment vertical="center"/>
    </xf>
    <xf numFmtId="0" fontId="21" fillId="0" borderId="19" xfId="42" applyFont="1" applyBorder="1" applyAlignment="1">
      <alignment horizontal="left" vertical="center"/>
    </xf>
    <xf numFmtId="0" fontId="21" fillId="0" borderId="0" xfId="42" applyFont="1" applyAlignment="1">
      <alignment horizontal="left" vertical="center"/>
    </xf>
    <xf numFmtId="0" fontId="21" fillId="0" borderId="19" xfId="42" applyFont="1" applyBorder="1" applyAlignment="1">
      <alignment horizontal="center" vertical="center"/>
    </xf>
    <xf numFmtId="0" fontId="27" fillId="0" borderId="0" xfId="42" applyFont="1" applyAlignment="1">
      <alignment horizontal="left" vertical="center"/>
    </xf>
    <xf numFmtId="0" fontId="26" fillId="0" borderId="0" xfId="42" applyFont="1" applyAlignment="1">
      <alignment horizontal="center" vertical="center" wrapText="1"/>
    </xf>
    <xf numFmtId="4" fontId="25" fillId="0" borderId="0" xfId="42" applyNumberFormat="1" applyFont="1" applyAlignment="1">
      <alignment horizontal="left" vertical="center"/>
    </xf>
    <xf numFmtId="4" fontId="25" fillId="0" borderId="13" xfId="42" applyNumberFormat="1" applyFont="1" applyBorder="1" applyAlignment="1">
      <alignment horizontal="left" vertical="center"/>
    </xf>
    <xf numFmtId="4" fontId="25" fillId="0" borderId="14" xfId="42" applyNumberFormat="1" applyFont="1" applyBorder="1" applyAlignment="1">
      <alignment horizontal="left" vertical="center"/>
    </xf>
    <xf numFmtId="4" fontId="25" fillId="0" borderId="15" xfId="42" applyNumberFormat="1" applyFont="1" applyBorder="1" applyAlignment="1">
      <alignment horizontal="left" vertical="center"/>
    </xf>
    <xf numFmtId="0" fontId="28" fillId="0" borderId="0" xfId="42" applyFont="1" applyAlignment="1">
      <alignment vertical="center"/>
    </xf>
    <xf numFmtId="4" fontId="19" fillId="0" borderId="19" xfId="42" applyNumberFormat="1" applyBorder="1" applyAlignment="1">
      <alignment horizontal="center" vertical="center"/>
    </xf>
    <xf numFmtId="4" fontId="19" fillId="0" borderId="0" xfId="42" applyNumberFormat="1" applyAlignment="1">
      <alignment horizontal="center" vertical="center"/>
    </xf>
    <xf numFmtId="0" fontId="21" fillId="0" borderId="18" xfId="42" applyFont="1" applyBorder="1" applyAlignment="1">
      <alignment horizontal="center" vertical="center"/>
    </xf>
    <xf numFmtId="3" fontId="21" fillId="0" borderId="0" xfId="42" applyNumberFormat="1" applyFont="1" applyAlignment="1">
      <alignment horizontal="center" vertical="center"/>
    </xf>
    <xf numFmtId="0" fontId="1" fillId="0" borderId="0" xfId="42" applyFont="1" applyAlignment="1">
      <alignment horizontal="center" vertical="center"/>
    </xf>
    <xf numFmtId="10" fontId="16" fillId="0" borderId="0" xfId="44" applyNumberFormat="1" applyFont="1" applyBorder="1" applyAlignment="1">
      <alignment horizontal="center" vertical="center"/>
    </xf>
    <xf numFmtId="0" fontId="1" fillId="0" borderId="0" xfId="42" applyFont="1" applyAlignment="1">
      <alignment horizontal="left" vertical="center"/>
    </xf>
    <xf numFmtId="3" fontId="20" fillId="0" borderId="0" xfId="42" applyNumberFormat="1" applyFont="1" applyAlignment="1">
      <alignment horizontal="left" vertical="center"/>
    </xf>
    <xf numFmtId="3" fontId="21" fillId="0" borderId="0" xfId="42" applyNumberFormat="1" applyFont="1" applyAlignment="1">
      <alignment horizontal="left" vertical="center"/>
    </xf>
    <xf numFmtId="3" fontId="22" fillId="0" borderId="0" xfId="42" applyNumberFormat="1" applyFont="1" applyAlignment="1">
      <alignment horizontal="left" vertical="center"/>
    </xf>
    <xf numFmtId="3" fontId="19" fillId="0" borderId="0" xfId="42" applyNumberFormat="1" applyAlignment="1">
      <alignment horizontal="center" vertical="center"/>
    </xf>
    <xf numFmtId="0" fontId="32" fillId="0" borderId="0" xfId="0" applyFont="1" applyAlignment="1">
      <alignment vertical="center"/>
    </xf>
    <xf numFmtId="0" fontId="33" fillId="0" borderId="0" xfId="0" applyFont="1"/>
    <xf numFmtId="4" fontId="20" fillId="0" borderId="0" xfId="42" applyNumberFormat="1" applyFont="1" applyAlignment="1">
      <alignment horizontal="right" vertical="center"/>
    </xf>
    <xf numFmtId="4" fontId="1" fillId="0" borderId="0" xfId="42" applyNumberFormat="1" applyFont="1" applyAlignment="1">
      <alignment horizontal="left" vertical="center"/>
    </xf>
    <xf numFmtId="4" fontId="1" fillId="0" borderId="10" xfId="42" applyNumberFormat="1" applyFont="1" applyBorder="1" applyAlignment="1">
      <alignment horizontal="left" vertical="center"/>
    </xf>
    <xf numFmtId="4" fontId="1" fillId="0" borderId="11" xfId="42" applyNumberFormat="1" applyFont="1" applyBorder="1" applyAlignment="1">
      <alignment horizontal="center" vertical="center"/>
    </xf>
    <xf numFmtId="4" fontId="1" fillId="0" borderId="11" xfId="42" applyNumberFormat="1" applyFont="1" applyBorder="1" applyAlignment="1">
      <alignment horizontal="left" vertical="center"/>
    </xf>
    <xf numFmtId="4" fontId="1" fillId="0" borderId="12" xfId="42" applyNumberFormat="1" applyFont="1" applyBorder="1" applyAlignment="1">
      <alignment horizontal="center" vertical="center"/>
    </xf>
    <xf numFmtId="4" fontId="1" fillId="0" borderId="18" xfId="42" applyNumberFormat="1" applyFont="1" applyBorder="1" applyAlignment="1">
      <alignment horizontal="left" vertical="center"/>
    </xf>
    <xf numFmtId="4" fontId="16" fillId="0" borderId="0" xfId="42" applyNumberFormat="1" applyFont="1" applyAlignment="1">
      <alignment horizontal="left" vertical="center"/>
    </xf>
    <xf numFmtId="4" fontId="1" fillId="0" borderId="0" xfId="42" applyNumberFormat="1" applyFont="1" applyAlignment="1">
      <alignment horizontal="center" vertical="center"/>
    </xf>
    <xf numFmtId="4" fontId="1" fillId="0" borderId="19" xfId="42" applyNumberFormat="1" applyFont="1" applyBorder="1" applyAlignment="1">
      <alignment horizontal="center" vertical="center"/>
    </xf>
    <xf numFmtId="4" fontId="34" fillId="0" borderId="0" xfId="42" applyNumberFormat="1" applyFont="1" applyAlignment="1">
      <alignment horizontal="left" vertical="center"/>
    </xf>
    <xf numFmtId="4" fontId="35" fillId="0" borderId="0" xfId="42" applyNumberFormat="1" applyFont="1" applyAlignment="1">
      <alignment vertical="center"/>
    </xf>
    <xf numFmtId="0" fontId="35" fillId="0" borderId="0" xfId="42" applyFont="1" applyAlignment="1">
      <alignment vertical="center"/>
    </xf>
    <xf numFmtId="0" fontId="35" fillId="0" borderId="18" xfId="42" applyFont="1" applyBorder="1" applyAlignment="1">
      <alignment vertical="center"/>
    </xf>
    <xf numFmtId="0" fontId="35" fillId="0" borderId="19" xfId="42" applyFont="1" applyBorder="1" applyAlignment="1">
      <alignment vertical="center"/>
    </xf>
    <xf numFmtId="4" fontId="35" fillId="0" borderId="13" xfId="42" applyNumberFormat="1" applyFont="1" applyBorder="1" applyAlignment="1">
      <alignment horizontal="left" vertical="center"/>
    </xf>
    <xf numFmtId="4" fontId="35" fillId="0" borderId="14" xfId="42" applyNumberFormat="1" applyFont="1" applyBorder="1" applyAlignment="1">
      <alignment horizontal="left" vertical="center"/>
    </xf>
    <xf numFmtId="4" fontId="35" fillId="0" borderId="15" xfId="42" applyNumberFormat="1" applyFont="1" applyBorder="1" applyAlignment="1">
      <alignment horizontal="left" vertical="center"/>
    </xf>
    <xf numFmtId="0" fontId="37" fillId="0" borderId="11" xfId="42" applyFont="1" applyBorder="1" applyAlignment="1">
      <alignment horizontal="center" vertical="center"/>
    </xf>
    <xf numFmtId="0" fontId="37" fillId="0" borderId="12" xfId="42" applyFont="1" applyBorder="1" applyAlignment="1">
      <alignment horizontal="center" vertical="center"/>
    </xf>
    <xf numFmtId="0" fontId="37" fillId="0" borderId="0" xfId="42" applyFont="1" applyAlignment="1">
      <alignment horizontal="center" vertical="center"/>
    </xf>
    <xf numFmtId="0" fontId="37" fillId="0" borderId="19" xfId="42" applyFont="1" applyBorder="1" applyAlignment="1">
      <alignment horizontal="center" vertical="center"/>
    </xf>
    <xf numFmtId="4" fontId="30" fillId="0" borderId="0" xfId="42" applyNumberFormat="1" applyFont="1" applyAlignment="1">
      <alignment horizontal="center" vertical="center"/>
    </xf>
    <xf numFmtId="4" fontId="35" fillId="0" borderId="0" xfId="42" applyNumberFormat="1" applyFont="1" applyAlignment="1">
      <alignment horizontal="left" vertical="center"/>
    </xf>
    <xf numFmtId="0" fontId="35" fillId="0" borderId="0" xfId="42" applyFont="1" applyAlignment="1">
      <alignment horizontal="left" vertical="center"/>
    </xf>
    <xf numFmtId="4" fontId="1" fillId="0" borderId="13" xfId="42" applyNumberFormat="1" applyFont="1" applyBorder="1" applyAlignment="1">
      <alignment horizontal="left" vertical="center"/>
    </xf>
    <xf numFmtId="4" fontId="1" fillId="0" borderId="14" xfId="42" applyNumberFormat="1" applyFont="1" applyBorder="1" applyAlignment="1">
      <alignment horizontal="center" vertical="center"/>
    </xf>
    <xf numFmtId="4" fontId="1" fillId="0" borderId="15" xfId="42" applyNumberFormat="1" applyFont="1" applyBorder="1" applyAlignment="1">
      <alignment horizontal="center" vertical="center"/>
    </xf>
    <xf numFmtId="0" fontId="19" fillId="0" borderId="0" xfId="42"/>
    <xf numFmtId="4" fontId="1" fillId="0" borderId="0" xfId="42" applyNumberFormat="1" applyFont="1" applyAlignment="1">
      <alignment horizontal="center" vertical="center" wrapText="1"/>
    </xf>
    <xf numFmtId="0" fontId="1" fillId="0" borderId="0" xfId="42" applyFont="1" applyAlignment="1">
      <alignment horizontal="center" vertical="center" wrapText="1"/>
    </xf>
    <xf numFmtId="0" fontId="37" fillId="0" borderId="0" xfId="42" applyFont="1" applyAlignment="1">
      <alignment horizontal="center" vertical="center" wrapText="1"/>
    </xf>
    <xf numFmtId="0" fontId="1" fillId="0" borderId="19" xfId="42" applyFont="1" applyBorder="1" applyAlignment="1">
      <alignment horizontal="center" vertical="center"/>
    </xf>
    <xf numFmtId="0" fontId="1" fillId="0" borderId="18" xfId="42" applyFont="1" applyBorder="1" applyAlignment="1">
      <alignment horizontal="left" vertical="center"/>
    </xf>
    <xf numFmtId="0" fontId="35" fillId="0" borderId="19" xfId="42" applyFont="1" applyBorder="1" applyAlignment="1">
      <alignment horizontal="left" vertical="center"/>
    </xf>
    <xf numFmtId="0" fontId="35" fillId="0" borderId="18" xfId="42" applyFont="1" applyBorder="1" applyAlignment="1">
      <alignment horizontal="left" vertical="center"/>
    </xf>
    <xf numFmtId="0" fontId="33" fillId="33" borderId="10" xfId="0" applyFont="1" applyFill="1" applyBorder="1"/>
    <xf numFmtId="0" fontId="0" fillId="33" borderId="12" xfId="0" applyFill="1" applyBorder="1"/>
    <xf numFmtId="0" fontId="33" fillId="33" borderId="18" xfId="0" applyFont="1" applyFill="1" applyBorder="1"/>
    <xf numFmtId="0" fontId="0" fillId="33" borderId="19" xfId="0" applyFill="1" applyBorder="1"/>
    <xf numFmtId="0" fontId="33" fillId="33" borderId="13" xfId="0" applyFont="1" applyFill="1" applyBorder="1"/>
    <xf numFmtId="0" fontId="0" fillId="33" borderId="15" xfId="0" applyFill="1" applyBorder="1"/>
    <xf numFmtId="0" fontId="38" fillId="34" borderId="45" xfId="46" applyFont="1" applyFill="1" applyBorder="1" applyAlignment="1">
      <alignment horizontal="center" vertical="center" wrapText="1"/>
    </xf>
    <xf numFmtId="0" fontId="38" fillId="34" borderId="46" xfId="47" applyFont="1" applyFill="1" applyBorder="1" applyAlignment="1">
      <alignment horizontal="center" vertical="center" wrapText="1"/>
    </xf>
    <xf numFmtId="0" fontId="29" fillId="0" borderId="0" xfId="47"/>
    <xf numFmtId="17" fontId="0" fillId="0" borderId="0" xfId="0" applyNumberFormat="1"/>
    <xf numFmtId="0" fontId="29" fillId="0" borderId="47" xfId="47" applyBorder="1"/>
    <xf numFmtId="0" fontId="25" fillId="0" borderId="19" xfId="42" applyFont="1" applyBorder="1" applyAlignment="1">
      <alignment vertical="center"/>
    </xf>
    <xf numFmtId="167" fontId="29" fillId="0" borderId="0" xfId="47" applyNumberFormat="1"/>
    <xf numFmtId="1" fontId="29" fillId="0" borderId="0" xfId="47" applyNumberFormat="1"/>
    <xf numFmtId="2" fontId="39" fillId="0" borderId="0" xfId="42" applyNumberFormat="1" applyFont="1" applyAlignment="1">
      <alignment horizontal="center" vertical="center"/>
    </xf>
    <xf numFmtId="2" fontId="21" fillId="0" borderId="0" xfId="42" applyNumberFormat="1" applyFont="1" applyAlignment="1">
      <alignment horizontal="center" vertical="center"/>
    </xf>
    <xf numFmtId="2" fontId="21" fillId="0" borderId="0" xfId="42" applyNumberFormat="1" applyFont="1" applyAlignment="1">
      <alignment horizontal="right" vertical="center"/>
    </xf>
    <xf numFmtId="4" fontId="21" fillId="0" borderId="0" xfId="42" applyNumberFormat="1" applyFont="1" applyAlignment="1">
      <alignment horizontal="right" vertical="center"/>
    </xf>
    <xf numFmtId="0" fontId="21" fillId="0" borderId="17" xfId="42" applyFont="1" applyBorder="1" applyAlignment="1">
      <alignment horizontal="center" vertical="center"/>
    </xf>
    <xf numFmtId="0" fontId="21" fillId="0" borderId="24" xfId="42" applyFont="1" applyBorder="1" applyAlignment="1">
      <alignment horizontal="center" vertical="center"/>
    </xf>
    <xf numFmtId="0" fontId="21" fillId="0" borderId="23" xfId="42" applyFont="1" applyBorder="1" applyAlignment="1">
      <alignment horizontal="center" vertical="center"/>
    </xf>
    <xf numFmtId="4" fontId="25" fillId="0" borderId="33" xfId="42" applyNumberFormat="1" applyFont="1" applyBorder="1" applyAlignment="1">
      <alignment horizontal="center" vertical="center"/>
    </xf>
    <xf numFmtId="4" fontId="25" fillId="0" borderId="34" xfId="42" applyNumberFormat="1" applyFont="1" applyBorder="1" applyAlignment="1">
      <alignment horizontal="center" vertical="center"/>
    </xf>
    <xf numFmtId="0" fontId="26" fillId="0" borderId="20" xfId="42" applyFont="1" applyBorder="1" applyAlignment="1">
      <alignment horizontal="center" vertical="center" wrapText="1"/>
    </xf>
    <xf numFmtId="0" fontId="26" fillId="0" borderId="21" xfId="42" applyFont="1" applyBorder="1" applyAlignment="1">
      <alignment horizontal="center" vertical="center" wrapText="1"/>
    </xf>
    <xf numFmtId="0" fontId="26" fillId="0" borderId="23" xfId="42" applyFont="1" applyBorder="1" applyAlignment="1">
      <alignment horizontal="center" vertical="center" wrapText="1"/>
    </xf>
    <xf numFmtId="0" fontId="26" fillId="0" borderId="17" xfId="42" applyFont="1" applyBorder="1" applyAlignment="1">
      <alignment horizontal="center" vertical="center" wrapText="1"/>
    </xf>
    <xf numFmtId="0" fontId="26" fillId="0" borderId="20" xfId="42" quotePrefix="1" applyFont="1" applyBorder="1" applyAlignment="1">
      <alignment horizontal="center" vertical="center" wrapText="1"/>
    </xf>
    <xf numFmtId="0" fontId="26" fillId="0" borderId="21" xfId="42" quotePrefix="1" applyFont="1" applyBorder="1" applyAlignment="1">
      <alignment horizontal="center" vertical="center" wrapText="1"/>
    </xf>
    <xf numFmtId="0" fontId="26" fillId="0" borderId="22" xfId="42" quotePrefix="1" applyFont="1" applyBorder="1" applyAlignment="1">
      <alignment horizontal="center" vertical="center" wrapText="1"/>
    </xf>
    <xf numFmtId="0" fontId="26" fillId="0" borderId="23" xfId="42" quotePrefix="1" applyFont="1" applyBorder="1" applyAlignment="1">
      <alignment horizontal="center" vertical="center" wrapText="1"/>
    </xf>
    <xf numFmtId="0" fontId="26" fillId="0" borderId="17" xfId="42" quotePrefix="1" applyFont="1" applyBorder="1" applyAlignment="1">
      <alignment horizontal="center" vertical="center" wrapText="1"/>
    </xf>
    <xf numFmtId="0" fontId="26" fillId="0" borderId="24" xfId="42" quotePrefix="1" applyFont="1" applyBorder="1" applyAlignment="1">
      <alignment horizontal="center" vertical="center" wrapText="1"/>
    </xf>
    <xf numFmtId="0" fontId="26" fillId="0" borderId="20" xfId="42" quotePrefix="1" applyFont="1" applyBorder="1" applyAlignment="1">
      <alignment horizontal="center" vertical="center"/>
    </xf>
    <xf numFmtId="0" fontId="26" fillId="0" borderId="21" xfId="42" quotePrefix="1" applyFont="1" applyBorder="1" applyAlignment="1">
      <alignment horizontal="center" vertical="center"/>
    </xf>
    <xf numFmtId="0" fontId="26" fillId="0" borderId="22" xfId="42" quotePrefix="1" applyFont="1" applyBorder="1" applyAlignment="1">
      <alignment horizontal="center" vertical="center"/>
    </xf>
    <xf numFmtId="4" fontId="21" fillId="0" borderId="23" xfId="42" applyNumberFormat="1" applyFont="1" applyBorder="1" applyAlignment="1">
      <alignment horizontal="center" vertical="center"/>
    </xf>
    <xf numFmtId="0" fontId="21" fillId="0" borderId="23" xfId="42" applyFont="1" applyBorder="1" applyAlignment="1">
      <alignment horizontal="center" vertical="center"/>
    </xf>
    <xf numFmtId="0" fontId="21" fillId="0" borderId="17" xfId="42" applyFont="1" applyBorder="1" applyAlignment="1">
      <alignment horizontal="center" vertical="center"/>
    </xf>
    <xf numFmtId="0" fontId="21" fillId="0" borderId="24" xfId="42" applyFont="1" applyBorder="1" applyAlignment="1">
      <alignment horizontal="center" vertical="center"/>
    </xf>
    <xf numFmtId="0" fontId="26" fillId="0" borderId="22" xfId="42" applyFont="1" applyBorder="1" applyAlignment="1">
      <alignment horizontal="center" vertical="center" wrapText="1"/>
    </xf>
    <xf numFmtId="0" fontId="26" fillId="0" borderId="24" xfId="42" applyFont="1" applyBorder="1" applyAlignment="1">
      <alignment horizontal="center" vertical="center" wrapText="1"/>
    </xf>
    <xf numFmtId="4" fontId="25" fillId="0" borderId="35" xfId="42" applyNumberFormat="1" applyFont="1" applyBorder="1" applyAlignment="1">
      <alignment horizontal="center" vertical="center"/>
    </xf>
    <xf numFmtId="165" fontId="25" fillId="0" borderId="33" xfId="42" applyNumberFormat="1" applyFont="1" applyBorder="1" applyAlignment="1">
      <alignment horizontal="center" vertical="center"/>
    </xf>
    <xf numFmtId="165" fontId="25" fillId="0" borderId="34" xfId="42" applyNumberFormat="1" applyFont="1" applyBorder="1" applyAlignment="1">
      <alignment horizontal="center" vertical="center"/>
    </xf>
    <xf numFmtId="165" fontId="25" fillId="0" borderId="35" xfId="42" applyNumberFormat="1" applyFont="1" applyBorder="1" applyAlignment="1">
      <alignment horizontal="center" vertical="center"/>
    </xf>
    <xf numFmtId="165" fontId="21" fillId="0" borderId="23" xfId="42" applyNumberFormat="1" applyFont="1" applyBorder="1" applyAlignment="1">
      <alignment horizontal="center" vertical="center"/>
    </xf>
    <xf numFmtId="165" fontId="21" fillId="0" borderId="17" xfId="42" applyNumberFormat="1" applyFont="1" applyBorder="1" applyAlignment="1">
      <alignment horizontal="center" vertical="center"/>
    </xf>
    <xf numFmtId="165" fontId="21" fillId="0" borderId="24" xfId="42" applyNumberFormat="1" applyFont="1" applyBorder="1" applyAlignment="1">
      <alignment horizontal="center" vertical="center"/>
    </xf>
    <xf numFmtId="0" fontId="20" fillId="0" borderId="20" xfId="42" applyFont="1" applyBorder="1" applyAlignment="1">
      <alignment horizontal="center" vertical="center"/>
    </xf>
    <xf numFmtId="0" fontId="20" fillId="0" borderId="21" xfId="42" applyFont="1" applyBorder="1" applyAlignment="1">
      <alignment horizontal="center" vertical="center"/>
    </xf>
    <xf numFmtId="0" fontId="20" fillId="0" borderId="23" xfId="42" applyFont="1" applyBorder="1" applyAlignment="1">
      <alignment horizontal="center" vertical="center"/>
    </xf>
    <xf numFmtId="0" fontId="20" fillId="0" borderId="17" xfId="42" applyFont="1" applyBorder="1" applyAlignment="1">
      <alignment horizontal="center" vertical="center"/>
    </xf>
    <xf numFmtId="0" fontId="20" fillId="0" borderId="20" xfId="42" applyFont="1" applyBorder="1" applyAlignment="1">
      <alignment horizontal="center" vertical="center" wrapText="1"/>
    </xf>
    <xf numFmtId="0" fontId="20" fillId="0" borderId="21" xfId="42" applyFont="1" applyBorder="1" applyAlignment="1">
      <alignment horizontal="center" vertical="center" wrapText="1"/>
    </xf>
    <xf numFmtId="0" fontId="20" fillId="0" borderId="23" xfId="42" applyFont="1" applyBorder="1" applyAlignment="1">
      <alignment horizontal="center" vertical="center" wrapText="1"/>
    </xf>
    <xf numFmtId="0" fontId="20" fillId="0" borderId="17" xfId="42" applyFont="1" applyBorder="1" applyAlignment="1">
      <alignment horizontal="center" vertical="center" wrapText="1"/>
    </xf>
    <xf numFmtId="0" fontId="20" fillId="0" borderId="22" xfId="42" applyFont="1" applyBorder="1" applyAlignment="1">
      <alignment horizontal="center" vertical="center" wrapText="1"/>
    </xf>
    <xf numFmtId="0" fontId="20" fillId="0" borderId="24" xfId="42" applyFont="1" applyBorder="1" applyAlignment="1">
      <alignment horizontal="center" vertical="center" wrapText="1"/>
    </xf>
    <xf numFmtId="0" fontId="21" fillId="0" borderId="41" xfId="42" applyFont="1" applyBorder="1" applyAlignment="1">
      <alignment horizontal="center" vertical="center" wrapText="1"/>
    </xf>
    <xf numFmtId="0" fontId="21" fillId="0" borderId="16" xfId="42" applyFont="1" applyBorder="1" applyAlignment="1">
      <alignment horizontal="center" vertical="center" wrapText="1"/>
    </xf>
    <xf numFmtId="164" fontId="21" fillId="0" borderId="42" xfId="42" applyNumberFormat="1" applyFont="1" applyBorder="1" applyAlignment="1">
      <alignment horizontal="center" vertical="center"/>
    </xf>
    <xf numFmtId="0" fontId="21" fillId="0" borderId="43" xfId="42" applyFont="1" applyBorder="1" applyAlignment="1">
      <alignment horizontal="center" vertical="center"/>
    </xf>
    <xf numFmtId="0" fontId="21" fillId="0" borderId="44" xfId="42" applyFont="1" applyBorder="1" applyAlignment="1">
      <alignment horizontal="center" vertical="center"/>
    </xf>
    <xf numFmtId="4" fontId="21" fillId="0" borderId="20" xfId="42" applyNumberFormat="1" applyFont="1" applyBorder="1" applyAlignment="1">
      <alignment horizontal="center" vertical="center" wrapText="1"/>
    </xf>
    <xf numFmtId="0" fontId="21" fillId="0" borderId="21" xfId="42" applyFont="1" applyBorder="1" applyAlignment="1">
      <alignment horizontal="center" vertical="center" wrapText="1"/>
    </xf>
    <xf numFmtId="0" fontId="21" fillId="0" borderId="23" xfId="42" applyFont="1" applyBorder="1" applyAlignment="1">
      <alignment horizontal="center" vertical="center" wrapText="1"/>
    </xf>
    <xf numFmtId="0" fontId="21" fillId="0" borderId="17" xfId="42" applyFont="1" applyBorder="1" applyAlignment="1">
      <alignment horizontal="center" vertical="center" wrapText="1"/>
    </xf>
    <xf numFmtId="4" fontId="21" fillId="0" borderId="42" xfId="42" applyNumberFormat="1" applyFont="1" applyBorder="1" applyAlignment="1">
      <alignment horizontal="center" vertical="center"/>
    </xf>
    <xf numFmtId="164" fontId="21" fillId="0" borderId="23" xfId="42" applyNumberFormat="1" applyFont="1" applyBorder="1" applyAlignment="1">
      <alignment horizontal="center" vertical="center"/>
    </xf>
    <xf numFmtId="0" fontId="21" fillId="0" borderId="48" xfId="42" applyFont="1" applyBorder="1" applyAlignment="1">
      <alignment horizontal="center" vertical="center" wrapText="1"/>
    </xf>
    <xf numFmtId="4" fontId="21" fillId="0" borderId="29" xfId="42" applyNumberFormat="1" applyFont="1" applyBorder="1" applyAlignment="1">
      <alignment horizontal="center" vertical="center" wrapText="1"/>
    </xf>
    <xf numFmtId="0" fontId="21" fillId="0" borderId="0" xfId="42" applyFont="1" applyAlignment="1">
      <alignment horizontal="center" vertical="center" wrapText="1"/>
    </xf>
    <xf numFmtId="0" fontId="21" fillId="0" borderId="29" xfId="42" applyFont="1" applyBorder="1" applyAlignment="1">
      <alignment horizontal="center" vertical="center" wrapText="1"/>
    </xf>
    <xf numFmtId="0" fontId="21" fillId="0" borderId="42" xfId="42" applyFont="1" applyBorder="1" applyAlignment="1">
      <alignment horizontal="center" vertical="center"/>
    </xf>
    <xf numFmtId="0" fontId="0" fillId="35" borderId="49" xfId="0" applyFont="1" applyFill="1" applyBorder="1"/>
    <xf numFmtId="0" fontId="0" fillId="35" borderId="50" xfId="0" applyFont="1" applyFill="1" applyBorder="1"/>
    <xf numFmtId="0" fontId="0" fillId="0" borderId="49" xfId="0" applyFont="1" applyBorder="1"/>
    <xf numFmtId="0" fontId="0" fillId="0" borderId="50" xfId="0" applyFont="1" applyBorder="1"/>
    <xf numFmtId="0" fontId="21" fillId="0" borderId="0" xfId="42" applyFont="1" applyBorder="1" applyAlignment="1">
      <alignment horizontal="center" vertical="center"/>
    </xf>
    <xf numFmtId="0" fontId="0" fillId="0" borderId="0" xfId="0" applyFill="1" applyBorder="1" applyAlignment="1"/>
    <xf numFmtId="2" fontId="0" fillId="0" borderId="0" xfId="0" applyNumberFormat="1" applyFill="1" applyBorder="1" applyAlignment="1"/>
    <xf numFmtId="2" fontId="18" fillId="0" borderId="52" xfId="0" applyNumberFormat="1" applyFont="1" applyFill="1" applyBorder="1" applyAlignment="1">
      <alignment horizontal="center"/>
    </xf>
    <xf numFmtId="2" fontId="0" fillId="0" borderId="14" xfId="0" applyNumberFormat="1" applyFill="1" applyBorder="1" applyAlignment="1"/>
    <xf numFmtId="2" fontId="0" fillId="36" borderId="14" xfId="0" applyNumberFormat="1" applyFill="1" applyBorder="1" applyAlignment="1"/>
    <xf numFmtId="2" fontId="40" fillId="0" borderId="0" xfId="0" applyNumberFormat="1" applyFont="1" applyFill="1" applyBorder="1" applyAlignment="1"/>
    <xf numFmtId="0" fontId="42" fillId="0" borderId="0" xfId="0" applyFont="1" applyAlignment="1">
      <alignment vertical="center"/>
    </xf>
    <xf numFmtId="0" fontId="43" fillId="0" borderId="0" xfId="0" applyFont="1"/>
    <xf numFmtId="0" fontId="21" fillId="0" borderId="30" xfId="42" applyFont="1" applyBorder="1" applyAlignment="1">
      <alignment horizontal="center" vertical="center"/>
    </xf>
    <xf numFmtId="0" fontId="21" fillId="0" borderId="0" xfId="42" applyFont="1" applyBorder="1" applyAlignment="1">
      <alignment horizontal="center" vertical="center" wrapText="1"/>
    </xf>
    <xf numFmtId="164" fontId="21" fillId="0" borderId="0" xfId="42" applyNumberFormat="1" applyFont="1" applyBorder="1" applyAlignment="1">
      <alignment horizontal="center" vertical="center"/>
    </xf>
    <xf numFmtId="2" fontId="21" fillId="0" borderId="29" xfId="42" applyNumberFormat="1" applyFont="1" applyBorder="1" applyAlignment="1">
      <alignment horizontal="center" vertical="center" wrapText="1"/>
    </xf>
    <xf numFmtId="2" fontId="21" fillId="0" borderId="0" xfId="42" applyNumberFormat="1" applyFont="1" applyAlignment="1">
      <alignment horizontal="center" vertical="center" wrapText="1"/>
    </xf>
    <xf numFmtId="2" fontId="21" fillId="0" borderId="23" xfId="42" applyNumberFormat="1" applyFont="1" applyBorder="1" applyAlignment="1">
      <alignment horizontal="center" vertical="center" wrapText="1"/>
    </xf>
    <xf numFmtId="2" fontId="21" fillId="0" borderId="17" xfId="42" applyNumberFormat="1" applyFont="1" applyBorder="1" applyAlignment="1">
      <alignment horizontal="center" vertical="center" wrapText="1"/>
    </xf>
    <xf numFmtId="2" fontId="21" fillId="0" borderId="23" xfId="42" applyNumberFormat="1" applyFont="1" applyBorder="1" applyAlignment="1">
      <alignment horizontal="center" vertical="center"/>
    </xf>
    <xf numFmtId="2" fontId="21" fillId="0" borderId="17" xfId="42" applyNumberFormat="1" applyFont="1" applyBorder="1" applyAlignment="1">
      <alignment horizontal="center" vertical="center"/>
    </xf>
    <xf numFmtId="2" fontId="21" fillId="0" borderId="24" xfId="42" applyNumberFormat="1" applyFont="1" applyBorder="1" applyAlignment="1">
      <alignment horizontal="center" vertical="center"/>
    </xf>
    <xf numFmtId="2" fontId="21" fillId="0" borderId="42" xfId="42" applyNumberFormat="1" applyFont="1" applyBorder="1" applyAlignment="1">
      <alignment horizontal="center" vertical="center"/>
    </xf>
    <xf numFmtId="2" fontId="21" fillId="0" borderId="43" xfId="42" applyNumberFormat="1" applyFont="1" applyBorder="1" applyAlignment="1">
      <alignment horizontal="center" vertical="center"/>
    </xf>
    <xf numFmtId="2" fontId="21" fillId="0" borderId="44" xfId="42" applyNumberFormat="1" applyFont="1" applyBorder="1" applyAlignment="1">
      <alignment horizontal="center" vertical="center"/>
    </xf>
    <xf numFmtId="2" fontId="40" fillId="38" borderId="0" xfId="0" applyNumberFormat="1" applyFont="1" applyFill="1" applyBorder="1" applyAlignment="1"/>
    <xf numFmtId="0" fontId="44" fillId="0" borderId="0" xfId="0" applyFont="1" applyAlignment="1">
      <alignment vertical="center"/>
    </xf>
    <xf numFmtId="0" fontId="44" fillId="0" borderId="0" xfId="0" applyFont="1"/>
    <xf numFmtId="0" fontId="45" fillId="0" borderId="0" xfId="0" applyFont="1" applyAlignment="1">
      <alignment vertical="center"/>
    </xf>
    <xf numFmtId="0" fontId="45" fillId="0" borderId="0" xfId="0" applyFont="1"/>
    <xf numFmtId="2" fontId="0" fillId="0" borderId="0" xfId="0" applyNumberFormat="1"/>
    <xf numFmtId="168" fontId="0" fillId="0" borderId="0" xfId="0" applyNumberFormat="1"/>
    <xf numFmtId="1" fontId="1" fillId="0" borderId="0" xfId="42" applyNumberFormat="1" applyFont="1" applyAlignment="1">
      <alignment horizontal="center" vertical="center"/>
    </xf>
    <xf numFmtId="1" fontId="1" fillId="0" borderId="0" xfId="42" applyNumberFormat="1" applyFont="1" applyAlignment="1">
      <alignment horizontal="center" vertical="center" wrapText="1"/>
    </xf>
    <xf numFmtId="1" fontId="37" fillId="0" borderId="0" xfId="42" applyNumberFormat="1" applyFont="1" applyAlignment="1">
      <alignment horizontal="center" vertical="top"/>
    </xf>
    <xf numFmtId="1" fontId="1" fillId="0" borderId="0" xfId="42" applyNumberFormat="1" applyFont="1" applyAlignment="1">
      <alignment horizontal="center" vertical="top"/>
    </xf>
    <xf numFmtId="1" fontId="19" fillId="0" borderId="0" xfId="42" applyNumberFormat="1" applyAlignment="1">
      <alignment horizontal="center" vertical="top"/>
    </xf>
    <xf numFmtId="2" fontId="18" fillId="0" borderId="52" xfId="0" applyNumberFormat="1" applyFont="1" applyFill="1" applyBorder="1" applyAlignment="1">
      <alignment horizontal="centerContinuous"/>
    </xf>
    <xf numFmtId="168" fontId="18" fillId="0" borderId="52" xfId="0" applyNumberFormat="1" applyFont="1" applyFill="1" applyBorder="1" applyAlignment="1">
      <alignment horizontal="centerContinuous"/>
    </xf>
    <xf numFmtId="168" fontId="0" fillId="0" borderId="0" xfId="0" applyNumberFormat="1" applyFill="1" applyBorder="1" applyAlignment="1"/>
    <xf numFmtId="168" fontId="0" fillId="0" borderId="14" xfId="0" applyNumberFormat="1" applyFill="1" applyBorder="1" applyAlignment="1"/>
    <xf numFmtId="168" fontId="18" fillId="0" borderId="52" xfId="0" applyNumberFormat="1" applyFont="1" applyFill="1" applyBorder="1" applyAlignment="1">
      <alignment horizontal="center"/>
    </xf>
    <xf numFmtId="2" fontId="46" fillId="0" borderId="0" xfId="0" applyNumberFormat="1" applyFont="1" applyFill="1" applyBorder="1" applyAlignment="1"/>
    <xf numFmtId="0" fontId="13" fillId="34" borderId="49" xfId="0" applyFont="1" applyFill="1" applyBorder="1" applyAlignment="1">
      <alignment vertical="center"/>
    </xf>
    <xf numFmtId="0" fontId="41" fillId="34" borderId="50" xfId="0" applyFont="1" applyFill="1" applyBorder="1" applyAlignment="1">
      <alignment vertical="center"/>
    </xf>
    <xf numFmtId="4" fontId="13" fillId="34" borderId="50" xfId="42" applyNumberFormat="1" applyFont="1" applyFill="1" applyBorder="1" applyAlignment="1">
      <alignment horizontal="center" vertical="center"/>
    </xf>
    <xf numFmtId="1" fontId="37" fillId="35" borderId="50" xfId="42" applyNumberFormat="1" applyFont="1" applyFill="1" applyBorder="1" applyAlignment="1">
      <alignment horizontal="center" vertical="top"/>
    </xf>
    <xf numFmtId="1" fontId="0" fillId="35" borderId="50" xfId="42" applyNumberFormat="1" applyFont="1" applyFill="1" applyBorder="1" applyAlignment="1">
      <alignment horizontal="center" vertical="top"/>
    </xf>
    <xf numFmtId="1" fontId="0" fillId="0" borderId="50" xfId="42" applyNumberFormat="1" applyFont="1" applyBorder="1" applyAlignment="1">
      <alignment horizontal="center" vertical="top"/>
    </xf>
    <xf numFmtId="1" fontId="19" fillId="35" borderId="50" xfId="42" applyNumberFormat="1" applyFont="1" applyFill="1" applyBorder="1" applyAlignment="1">
      <alignment horizontal="center" vertical="top"/>
    </xf>
    <xf numFmtId="1" fontId="19" fillId="0" borderId="50" xfId="42" applyNumberFormat="1" applyFont="1" applyBorder="1" applyAlignment="1">
      <alignment horizontal="center" vertical="top"/>
    </xf>
    <xf numFmtId="4" fontId="13" fillId="34" borderId="51" xfId="42" applyNumberFormat="1" applyFont="1" applyFill="1" applyBorder="1" applyAlignment="1">
      <alignment horizontal="center" vertical="center"/>
    </xf>
    <xf numFmtId="1" fontId="0" fillId="35" borderId="50" xfId="42" applyNumberFormat="1" applyFont="1" applyFill="1" applyBorder="1" applyAlignment="1">
      <alignment horizontal="center" vertical="center"/>
    </xf>
    <xf numFmtId="4" fontId="0" fillId="35" borderId="51" xfId="42" applyNumberFormat="1" applyFont="1" applyFill="1" applyBorder="1" applyAlignment="1">
      <alignment horizontal="center" vertical="center"/>
    </xf>
    <xf numFmtId="1" fontId="0" fillId="0" borderId="50" xfId="42" applyNumberFormat="1" applyFont="1" applyBorder="1" applyAlignment="1">
      <alignment horizontal="center" vertical="center"/>
    </xf>
    <xf numFmtId="4" fontId="0" fillId="0" borderId="51" xfId="42" applyNumberFormat="1" applyFont="1" applyBorder="1" applyAlignment="1">
      <alignment horizontal="center" vertical="center"/>
    </xf>
    <xf numFmtId="1" fontId="0" fillId="35" borderId="50" xfId="42" applyNumberFormat="1" applyFont="1" applyFill="1" applyBorder="1" applyAlignment="1">
      <alignment horizontal="center" vertical="center" wrapText="1"/>
    </xf>
    <xf numFmtId="4" fontId="0" fillId="35" borderId="51" xfId="42" applyNumberFormat="1" applyFont="1" applyFill="1" applyBorder="1" applyAlignment="1">
      <alignment horizontal="center" vertical="center" wrapText="1"/>
    </xf>
    <xf numFmtId="0" fontId="0" fillId="35" borderId="51" xfId="42" applyNumberFormat="1" applyFont="1" applyFill="1" applyBorder="1" applyAlignment="1">
      <alignment horizontal="center" vertical="center"/>
    </xf>
    <xf numFmtId="0" fontId="0" fillId="0" borderId="51" xfId="42" applyNumberFormat="1" applyFont="1" applyBorder="1" applyAlignment="1">
      <alignment horizontal="center" vertical="center"/>
    </xf>
    <xf numFmtId="4" fontId="1" fillId="0" borderId="0" xfId="42" applyNumberFormat="1" applyFont="1" applyBorder="1" applyAlignment="1">
      <alignment horizontal="left" vertical="center"/>
    </xf>
    <xf numFmtId="4" fontId="1" fillId="0" borderId="0" xfId="42" applyNumberFormat="1" applyFont="1" applyBorder="1" applyAlignment="1">
      <alignment horizontal="center" vertical="center"/>
    </xf>
    <xf numFmtId="0" fontId="1" fillId="0" borderId="0" xfId="42" applyFont="1" applyBorder="1" applyAlignment="1">
      <alignment horizontal="center" vertical="center"/>
    </xf>
    <xf numFmtId="0" fontId="1" fillId="0" borderId="0" xfId="42" applyFont="1" applyBorder="1" applyAlignment="1">
      <alignment horizontal="left" vertical="center"/>
    </xf>
    <xf numFmtId="4" fontId="35" fillId="0" borderId="0" xfId="42" applyNumberFormat="1" applyFont="1" applyBorder="1" applyAlignment="1">
      <alignment vertical="center"/>
    </xf>
    <xf numFmtId="0" fontId="35" fillId="0" borderId="0" xfId="42" applyFont="1" applyBorder="1" applyAlignment="1">
      <alignment horizontal="center" vertical="center"/>
    </xf>
    <xf numFmtId="0" fontId="35" fillId="0" borderId="0" xfId="42" quotePrefix="1" applyFont="1" applyBorder="1" applyAlignment="1">
      <alignment horizontal="center" vertical="center"/>
    </xf>
    <xf numFmtId="0" fontId="35" fillId="0" borderId="0" xfId="42" applyFont="1" applyBorder="1" applyAlignment="1">
      <alignment vertical="center"/>
    </xf>
    <xf numFmtId="4" fontId="16" fillId="0" borderId="20" xfId="42" applyNumberFormat="1" applyFont="1" applyBorder="1" applyAlignment="1">
      <alignment horizontal="left" vertical="center"/>
    </xf>
    <xf numFmtId="0" fontId="1" fillId="0" borderId="21" xfId="42" applyFont="1" applyBorder="1" applyAlignment="1">
      <alignment horizontal="center" vertical="center"/>
    </xf>
    <xf numFmtId="4" fontId="14" fillId="0" borderId="21" xfId="42" applyNumberFormat="1" applyFont="1" applyBorder="1" applyAlignment="1">
      <alignment horizontal="center" vertical="center"/>
    </xf>
    <xf numFmtId="4" fontId="1" fillId="0" borderId="21" xfId="42" applyNumberFormat="1" applyFont="1" applyBorder="1" applyAlignment="1">
      <alignment horizontal="center" vertical="center"/>
    </xf>
    <xf numFmtId="0" fontId="1" fillId="0" borderId="22" xfId="42" applyFont="1" applyBorder="1" applyAlignment="1">
      <alignment horizontal="center" vertical="center"/>
    </xf>
    <xf numFmtId="4" fontId="34" fillId="0" borderId="29" xfId="42" applyNumberFormat="1" applyFont="1" applyBorder="1" applyAlignment="1">
      <alignment horizontal="left" vertical="center"/>
    </xf>
    <xf numFmtId="0" fontId="1" fillId="0" borderId="30" xfId="42" applyFont="1" applyBorder="1" applyAlignment="1">
      <alignment horizontal="center" vertical="center"/>
    </xf>
    <xf numFmtId="0" fontId="35" fillId="0" borderId="29" xfId="42" applyFont="1" applyBorder="1" applyAlignment="1">
      <alignment horizontal="center" vertical="center"/>
    </xf>
    <xf numFmtId="0" fontId="35" fillId="0" borderId="30" xfId="42" applyFont="1" applyBorder="1" applyAlignment="1">
      <alignment vertical="center"/>
    </xf>
    <xf numFmtId="0" fontId="35" fillId="0" borderId="29" xfId="42" applyFont="1" applyBorder="1" applyAlignment="1">
      <alignment vertical="center"/>
    </xf>
    <xf numFmtId="4" fontId="1" fillId="0" borderId="23" xfId="42" applyNumberFormat="1" applyFont="1" applyBorder="1" applyAlignment="1">
      <alignment horizontal="center" vertical="center"/>
    </xf>
    <xf numFmtId="4" fontId="1" fillId="0" borderId="17" xfId="42" applyNumberFormat="1" applyFont="1" applyBorder="1" applyAlignment="1">
      <alignment horizontal="left" vertical="center"/>
    </xf>
    <xf numFmtId="4" fontId="1" fillId="0" borderId="17" xfId="42" applyNumberFormat="1" applyFont="1" applyBorder="1" applyAlignment="1">
      <alignment horizontal="center" vertical="center"/>
    </xf>
    <xf numFmtId="0" fontId="1" fillId="0" borderId="17" xfId="42" applyFont="1" applyBorder="1" applyAlignment="1">
      <alignment horizontal="center" vertical="center"/>
    </xf>
    <xf numFmtId="0" fontId="1" fillId="0" borderId="24" xfId="42" applyFont="1" applyBorder="1" applyAlignment="1">
      <alignment horizontal="center" vertical="center"/>
    </xf>
    <xf numFmtId="0" fontId="48" fillId="0" borderId="0" xfId="0" applyFont="1"/>
    <xf numFmtId="3" fontId="1" fillId="0" borderId="0" xfId="42" applyNumberFormat="1" applyFont="1" applyAlignment="1">
      <alignment horizontal="center" vertical="center"/>
    </xf>
    <xf numFmtId="3" fontId="19" fillId="0" borderId="0" xfId="42" applyNumberFormat="1" applyAlignment="1">
      <alignment horizontal="center"/>
    </xf>
    <xf numFmtId="4" fontId="1" fillId="36" borderId="0" xfId="42" applyNumberFormat="1" applyFont="1" applyFill="1" applyAlignment="1">
      <alignment horizontal="center" vertical="center"/>
    </xf>
    <xf numFmtId="2" fontId="0" fillId="39" borderId="0" xfId="0" applyNumberFormat="1" applyFill="1" applyBorder="1" applyAlignment="1"/>
    <xf numFmtId="167" fontId="0" fillId="0" borderId="0" xfId="0" applyNumberFormat="1"/>
    <xf numFmtId="167" fontId="18" fillId="0" borderId="52" xfId="0" applyNumberFormat="1" applyFont="1" applyFill="1" applyBorder="1" applyAlignment="1">
      <alignment horizontal="centerContinuous"/>
    </xf>
    <xf numFmtId="167" fontId="0" fillId="0" borderId="0" xfId="0" applyNumberFormat="1" applyFill="1" applyBorder="1" applyAlignment="1"/>
    <xf numFmtId="167" fontId="0" fillId="0" borderId="14" xfId="0" applyNumberFormat="1" applyFill="1" applyBorder="1" applyAlignment="1"/>
    <xf numFmtId="167" fontId="18" fillId="0" borderId="52" xfId="0" applyNumberFormat="1" applyFont="1" applyFill="1" applyBorder="1" applyAlignment="1">
      <alignment horizontal="center"/>
    </xf>
    <xf numFmtId="2" fontId="16" fillId="0" borderId="0" xfId="42" applyNumberFormat="1" applyFont="1" applyBorder="1" applyAlignment="1">
      <alignment horizontal="center" vertical="center"/>
    </xf>
    <xf numFmtId="4" fontId="19" fillId="0" borderId="0" xfId="42" applyNumberFormat="1" applyBorder="1" applyAlignment="1">
      <alignment horizontal="center" vertical="center"/>
    </xf>
    <xf numFmtId="3" fontId="19" fillId="0" borderId="0" xfId="42" applyNumberFormat="1" applyBorder="1" applyAlignment="1">
      <alignment horizontal="center" vertical="center"/>
    </xf>
    <xf numFmtId="1" fontId="29" fillId="0" borderId="0" xfId="47" applyNumberFormat="1" applyBorder="1"/>
    <xf numFmtId="167" fontId="29" fillId="0" borderId="0" xfId="47" applyNumberFormat="1" applyBorder="1"/>
    <xf numFmtId="168" fontId="29" fillId="0" borderId="0" xfId="47" applyNumberFormat="1" applyBorder="1"/>
    <xf numFmtId="0" fontId="21" fillId="0" borderId="20" xfId="42" applyFont="1" applyBorder="1" applyAlignment="1">
      <alignment horizontal="center" vertical="center"/>
    </xf>
    <xf numFmtId="0" fontId="21" fillId="0" borderId="21" xfId="42" applyFont="1" applyBorder="1" applyAlignment="1">
      <alignment horizontal="center" vertical="center"/>
    </xf>
    <xf numFmtId="0" fontId="21" fillId="0" borderId="22" xfId="42" applyFont="1" applyBorder="1" applyAlignment="1">
      <alignment horizontal="center" vertical="center"/>
    </xf>
    <xf numFmtId="0" fontId="21" fillId="0" borderId="29" xfId="42" applyFont="1" applyBorder="1" applyAlignment="1">
      <alignment horizontal="center" vertical="center"/>
    </xf>
    <xf numFmtId="0" fontId="1" fillId="0" borderId="30" xfId="42" applyFont="1" applyBorder="1" applyAlignment="1">
      <alignment horizontal="left" vertical="center"/>
    </xf>
    <xf numFmtId="167" fontId="29" fillId="0" borderId="29" xfId="47" applyNumberFormat="1" applyBorder="1"/>
    <xf numFmtId="4" fontId="19" fillId="0" borderId="30" xfId="42" applyNumberFormat="1" applyBorder="1" applyAlignment="1">
      <alignment horizontal="center" vertical="center"/>
    </xf>
    <xf numFmtId="2" fontId="39" fillId="0" borderId="0" xfId="42" applyNumberFormat="1" applyFont="1" applyBorder="1" applyAlignment="1">
      <alignment horizontal="center" vertical="center"/>
    </xf>
    <xf numFmtId="2" fontId="21" fillId="0" borderId="0" xfId="42" applyNumberFormat="1" applyFont="1" applyBorder="1" applyAlignment="1">
      <alignment horizontal="center" vertical="center"/>
    </xf>
    <xf numFmtId="2" fontId="21" fillId="0" borderId="0" xfId="42" applyNumberFormat="1" applyFont="1" applyBorder="1" applyAlignment="1">
      <alignment horizontal="right" vertical="center"/>
    </xf>
    <xf numFmtId="4" fontId="21" fillId="0" borderId="0" xfId="42" applyNumberFormat="1" applyFont="1" applyBorder="1" applyAlignment="1">
      <alignment horizontal="right" vertical="center"/>
    </xf>
    <xf numFmtId="0" fontId="21" fillId="0" borderId="0" xfId="42" applyFont="1" applyBorder="1" applyAlignment="1">
      <alignment horizontal="left" vertical="center"/>
    </xf>
    <xf numFmtId="2" fontId="39" fillId="0" borderId="17" xfId="42" applyNumberFormat="1" applyFont="1" applyBorder="1" applyAlignment="1">
      <alignment horizontal="center" vertical="center"/>
    </xf>
    <xf numFmtId="2" fontId="21" fillId="0" borderId="17" xfId="42" applyNumberFormat="1" applyFont="1" applyBorder="1" applyAlignment="1">
      <alignment horizontal="center" vertical="center"/>
    </xf>
    <xf numFmtId="2" fontId="21" fillId="0" borderId="17" xfId="42" applyNumberFormat="1" applyFont="1" applyBorder="1" applyAlignment="1">
      <alignment horizontal="right" vertical="center"/>
    </xf>
    <xf numFmtId="4" fontId="21" fillId="0" borderId="17" xfId="42" applyNumberFormat="1" applyFont="1" applyBorder="1" applyAlignment="1">
      <alignment horizontal="right" vertical="center"/>
    </xf>
    <xf numFmtId="0" fontId="21" fillId="0" borderId="17" xfId="42" applyFont="1" applyBorder="1" applyAlignment="1">
      <alignment horizontal="left" vertical="center"/>
    </xf>
    <xf numFmtId="164" fontId="30" fillId="0" borderId="0" xfId="42" applyNumberFormat="1" applyFont="1" applyBorder="1" applyAlignment="1">
      <alignment horizontal="center" vertical="center" wrapText="1"/>
    </xf>
    <xf numFmtId="2" fontId="18" fillId="0" borderId="0" xfId="0" applyNumberFormat="1" applyFont="1" applyFill="1" applyBorder="1" applyAlignment="1">
      <alignment horizontal="center"/>
    </xf>
    <xf numFmtId="0" fontId="18" fillId="0" borderId="0" xfId="0" applyFont="1" applyFill="1" applyBorder="1" applyAlignment="1">
      <alignment horizontal="center"/>
    </xf>
    <xf numFmtId="2" fontId="49" fillId="37" borderId="0" xfId="0" applyNumberFormat="1" applyFont="1" applyFill="1" applyBorder="1" applyAlignment="1"/>
    <xf numFmtId="2" fontId="50" fillId="40" borderId="0" xfId="0" applyNumberFormat="1" applyFont="1" applyFill="1" applyBorder="1" applyAlignment="1"/>
    <xf numFmtId="4" fontId="22" fillId="0" borderId="0" xfId="42" applyNumberFormat="1" applyFont="1" applyBorder="1" applyAlignment="1">
      <alignment horizontal="left" vertical="center"/>
    </xf>
    <xf numFmtId="0" fontId="31" fillId="0" borderId="0" xfId="42" applyFont="1" applyBorder="1" applyAlignment="1">
      <alignment vertical="center"/>
    </xf>
    <xf numFmtId="0" fontId="31" fillId="0" borderId="0" xfId="42" applyFont="1" applyBorder="1" applyAlignment="1">
      <alignment horizontal="center" vertical="center"/>
    </xf>
    <xf numFmtId="167" fontId="18" fillId="0" borderId="20" xfId="47" applyNumberFormat="1" applyFont="1" applyBorder="1" applyAlignment="1">
      <alignment horizontal="center" wrapText="1"/>
    </xf>
    <xf numFmtId="167" fontId="18" fillId="0" borderId="21" xfId="47" applyNumberFormat="1" applyFont="1" applyBorder="1" applyAlignment="1">
      <alignment horizontal="left" wrapText="1"/>
    </xf>
    <xf numFmtId="1" fontId="18" fillId="0" borderId="21" xfId="47" applyNumberFormat="1" applyFont="1" applyBorder="1" applyAlignment="1">
      <alignment horizontal="left" wrapText="1"/>
    </xf>
    <xf numFmtId="164" fontId="30" fillId="0" borderId="30" xfId="42" applyNumberFormat="1" applyFont="1" applyBorder="1" applyAlignment="1">
      <alignment horizontal="center" vertical="center" wrapText="1"/>
    </xf>
    <xf numFmtId="0" fontId="18" fillId="0" borderId="30" xfId="0" applyFont="1" applyFill="1" applyBorder="1" applyAlignment="1">
      <alignment horizontal="center"/>
    </xf>
    <xf numFmtId="0" fontId="0" fillId="0" borderId="30" xfId="0" applyFill="1" applyBorder="1" applyAlignment="1"/>
    <xf numFmtId="167" fontId="29" fillId="0" borderId="23" xfId="47" applyNumberFormat="1" applyBorder="1"/>
    <xf numFmtId="1" fontId="29" fillId="0" borderId="17" xfId="47" applyNumberFormat="1" applyBorder="1"/>
    <xf numFmtId="0" fontId="0" fillId="0" borderId="17" xfId="0" applyFill="1" applyBorder="1" applyAlignment="1"/>
    <xf numFmtId="0" fontId="0" fillId="0" borderId="24" xfId="0" applyFill="1" applyBorder="1" applyAlignment="1"/>
    <xf numFmtId="0" fontId="26" fillId="41" borderId="20" xfId="42" applyFont="1" applyFill="1" applyBorder="1" applyAlignment="1">
      <alignment horizontal="center" vertical="center" wrapText="1"/>
    </xf>
    <xf numFmtId="0" fontId="26" fillId="41" borderId="21" xfId="42" applyFont="1" applyFill="1" applyBorder="1" applyAlignment="1">
      <alignment horizontal="center" vertical="center" wrapText="1"/>
    </xf>
    <xf numFmtId="0" fontId="26" fillId="41" borderId="23" xfId="42" applyFont="1" applyFill="1" applyBorder="1" applyAlignment="1">
      <alignment horizontal="center" vertical="center" wrapText="1"/>
    </xf>
    <xf numFmtId="0" fontId="26" fillId="41" borderId="17" xfId="42" applyFont="1" applyFill="1" applyBorder="1" applyAlignment="1">
      <alignment horizontal="center" vertical="center" wrapText="1"/>
    </xf>
    <xf numFmtId="4" fontId="25" fillId="41" borderId="29" xfId="42" applyNumberFormat="1" applyFont="1" applyFill="1" applyBorder="1" applyAlignment="1">
      <alignment horizontal="center" vertical="center"/>
    </xf>
    <xf numFmtId="4" fontId="25" fillId="41" borderId="0" xfId="42" applyNumberFormat="1" applyFont="1" applyFill="1" applyAlignment="1">
      <alignment horizontal="center" vertical="center"/>
    </xf>
    <xf numFmtId="4" fontId="25" fillId="41" borderId="33" xfId="42" applyNumberFormat="1" applyFont="1" applyFill="1" applyBorder="1" applyAlignment="1">
      <alignment horizontal="center" vertical="center"/>
    </xf>
    <xf numFmtId="4" fontId="25" fillId="41" borderId="34" xfId="42" applyNumberFormat="1" applyFont="1" applyFill="1" applyBorder="1" applyAlignment="1">
      <alignment horizontal="center" vertical="center"/>
    </xf>
    <xf numFmtId="4" fontId="21" fillId="41" borderId="23" xfId="42" applyNumberFormat="1" applyFont="1" applyFill="1" applyBorder="1" applyAlignment="1">
      <alignment horizontal="center" vertical="center"/>
    </xf>
    <xf numFmtId="4" fontId="21" fillId="41" borderId="17" xfId="42" applyNumberFormat="1" applyFont="1" applyFill="1" applyBorder="1" applyAlignment="1">
      <alignment horizontal="center" vertical="center"/>
    </xf>
    <xf numFmtId="0" fontId="26" fillId="36" borderId="20" xfId="42" quotePrefix="1" applyFont="1" applyFill="1" applyBorder="1" applyAlignment="1">
      <alignment horizontal="center" vertical="center" wrapText="1"/>
    </xf>
    <xf numFmtId="0" fontId="26" fillId="36" borderId="21" xfId="42" quotePrefix="1" applyFont="1" applyFill="1" applyBorder="1" applyAlignment="1">
      <alignment horizontal="center" vertical="center" wrapText="1"/>
    </xf>
    <xf numFmtId="0" fontId="26" fillId="36" borderId="22" xfId="42" quotePrefix="1" applyFont="1" applyFill="1" applyBorder="1" applyAlignment="1">
      <alignment horizontal="center" vertical="center" wrapText="1"/>
    </xf>
    <xf numFmtId="0" fontId="26" fillId="36" borderId="23" xfId="42" quotePrefix="1" applyFont="1" applyFill="1" applyBorder="1" applyAlignment="1">
      <alignment horizontal="center" vertical="center" wrapText="1"/>
    </xf>
    <xf numFmtId="0" fontId="26" fillId="36" borderId="17" xfId="42" quotePrefix="1" applyFont="1" applyFill="1" applyBorder="1" applyAlignment="1">
      <alignment horizontal="center" vertical="center" wrapText="1"/>
    </xf>
    <xf numFmtId="0" fontId="26" fillId="36" borderId="24" xfId="42" quotePrefix="1" applyFont="1" applyFill="1" applyBorder="1" applyAlignment="1">
      <alignment horizontal="center" vertical="center" wrapText="1"/>
    </xf>
    <xf numFmtId="0" fontId="25" fillId="36" borderId="29" xfId="42" applyFont="1" applyFill="1" applyBorder="1" applyAlignment="1">
      <alignment horizontal="center" vertical="center"/>
    </xf>
    <xf numFmtId="0" fontId="25" fillId="36" borderId="0" xfId="42" applyFont="1" applyFill="1" applyAlignment="1">
      <alignment horizontal="center" vertical="center"/>
    </xf>
    <xf numFmtId="0" fontId="25" fillId="36" borderId="30" xfId="42" applyFont="1" applyFill="1" applyBorder="1" applyAlignment="1">
      <alignment horizontal="center" vertical="center"/>
    </xf>
    <xf numFmtId="0" fontId="25" fillId="36" borderId="33" xfId="42" applyFont="1" applyFill="1" applyBorder="1" applyAlignment="1">
      <alignment horizontal="center" vertical="center"/>
    </xf>
    <xf numFmtId="0" fontId="25" fillId="36" borderId="34" xfId="42" applyFont="1" applyFill="1" applyBorder="1" applyAlignment="1">
      <alignment horizontal="center" vertical="center"/>
    </xf>
    <xf numFmtId="0" fontId="25" fillId="36" borderId="35" xfId="42" applyFont="1" applyFill="1" applyBorder="1" applyAlignment="1">
      <alignment horizontal="center" vertical="center"/>
    </xf>
    <xf numFmtId="0" fontId="21" fillId="36" borderId="23" xfId="42" applyFont="1" applyFill="1" applyBorder="1" applyAlignment="1">
      <alignment horizontal="center" vertical="center"/>
    </xf>
    <xf numFmtId="0" fontId="21" fillId="36" borderId="17" xfId="42" applyFont="1" applyFill="1" applyBorder="1" applyAlignment="1">
      <alignment horizontal="center" vertical="center"/>
    </xf>
    <xf numFmtId="0" fontId="21" fillId="36" borderId="24" xfId="42" applyFont="1" applyFill="1" applyBorder="1" applyAlignment="1">
      <alignment horizontal="center" vertical="center"/>
    </xf>
    <xf numFmtId="0" fontId="26" fillId="38" borderId="20" xfId="42" applyFont="1" applyFill="1" applyBorder="1" applyAlignment="1">
      <alignment horizontal="center" vertical="center" wrapText="1"/>
    </xf>
    <xf numFmtId="0" fontId="26" fillId="38" borderId="21" xfId="42" applyFont="1" applyFill="1" applyBorder="1" applyAlignment="1">
      <alignment horizontal="center" vertical="center" wrapText="1"/>
    </xf>
    <xf numFmtId="0" fontId="26" fillId="38" borderId="22" xfId="42" applyFont="1" applyFill="1" applyBorder="1" applyAlignment="1">
      <alignment horizontal="center" vertical="center" wrapText="1"/>
    </xf>
    <xf numFmtId="0" fontId="26" fillId="38" borderId="23" xfId="42" applyFont="1" applyFill="1" applyBorder="1" applyAlignment="1">
      <alignment horizontal="center" vertical="center" wrapText="1"/>
    </xf>
    <xf numFmtId="0" fontId="26" fillId="38" borderId="17" xfId="42" applyFont="1" applyFill="1" applyBorder="1" applyAlignment="1">
      <alignment horizontal="center" vertical="center" wrapText="1"/>
    </xf>
    <xf numFmtId="0" fontId="26" fillId="38" borderId="24" xfId="42" applyFont="1" applyFill="1" applyBorder="1" applyAlignment="1">
      <alignment horizontal="center" vertical="center" wrapText="1"/>
    </xf>
    <xf numFmtId="164" fontId="21" fillId="38" borderId="20" xfId="42" applyNumberFormat="1" applyFont="1" applyFill="1" applyBorder="1" applyAlignment="1">
      <alignment horizontal="center" vertical="center" wrapText="1"/>
    </xf>
    <xf numFmtId="0" fontId="21" fillId="38" borderId="21" xfId="42" applyFont="1" applyFill="1" applyBorder="1" applyAlignment="1">
      <alignment horizontal="center" vertical="center" wrapText="1"/>
    </xf>
    <xf numFmtId="0" fontId="21" fillId="38" borderId="22" xfId="42" applyFont="1" applyFill="1" applyBorder="1" applyAlignment="1">
      <alignment horizontal="center" vertical="center" wrapText="1"/>
    </xf>
    <xf numFmtId="0" fontId="21" fillId="38" borderId="23" xfId="42" applyFont="1" applyFill="1" applyBorder="1" applyAlignment="1">
      <alignment horizontal="center" vertical="center" wrapText="1"/>
    </xf>
    <xf numFmtId="0" fontId="21" fillId="38" borderId="17" xfId="42" applyFont="1" applyFill="1" applyBorder="1" applyAlignment="1">
      <alignment horizontal="center" vertical="center" wrapText="1"/>
    </xf>
    <xf numFmtId="0" fontId="21" fillId="38" borderId="24" xfId="42" applyFont="1" applyFill="1" applyBorder="1" applyAlignment="1">
      <alignment horizontal="center" vertical="center" wrapText="1"/>
    </xf>
    <xf numFmtId="164" fontId="21" fillId="38" borderId="29" xfId="42" applyNumberFormat="1" applyFont="1" applyFill="1" applyBorder="1" applyAlignment="1">
      <alignment horizontal="center" vertical="center" wrapText="1"/>
    </xf>
    <xf numFmtId="0" fontId="21" fillId="38" borderId="0" xfId="42" applyFont="1" applyFill="1" applyAlignment="1">
      <alignment horizontal="center" vertical="center" wrapText="1"/>
    </xf>
    <xf numFmtId="0" fontId="21" fillId="38" borderId="30" xfId="42" applyFont="1" applyFill="1" applyBorder="1" applyAlignment="1">
      <alignment horizontal="center" vertical="center" wrapText="1"/>
    </xf>
    <xf numFmtId="0" fontId="21" fillId="38" borderId="29" xfId="42" applyFont="1" applyFill="1" applyBorder="1" applyAlignment="1">
      <alignment horizontal="center" vertical="center" wrapText="1"/>
    </xf>
    <xf numFmtId="4" fontId="25" fillId="42" borderId="29" xfId="42" applyNumberFormat="1" applyFont="1" applyFill="1" applyBorder="1" applyAlignment="1">
      <alignment horizontal="center" vertical="center"/>
    </xf>
    <xf numFmtId="4" fontId="25" fillId="42" borderId="0" xfId="42" applyNumberFormat="1" applyFont="1" applyFill="1" applyAlignment="1">
      <alignment horizontal="center" vertical="center"/>
    </xf>
    <xf numFmtId="4" fontId="25" fillId="42" borderId="30" xfId="42" applyNumberFormat="1" applyFont="1" applyFill="1" applyBorder="1" applyAlignment="1">
      <alignment horizontal="center" vertical="center"/>
    </xf>
    <xf numFmtId="2" fontId="25" fillId="42" borderId="29" xfId="42" applyNumberFormat="1" applyFont="1" applyFill="1" applyBorder="1" applyAlignment="1">
      <alignment horizontal="center" vertical="center"/>
    </xf>
    <xf numFmtId="2" fontId="25" fillId="42" borderId="0" xfId="42" applyNumberFormat="1" applyFont="1" applyFill="1" applyAlignment="1">
      <alignment horizontal="center" vertical="center"/>
    </xf>
    <xf numFmtId="2" fontId="25" fillId="42" borderId="30" xfId="42" applyNumberFormat="1" applyFont="1" applyFill="1" applyBorder="1" applyAlignment="1">
      <alignment horizontal="center" vertical="center"/>
    </xf>
    <xf numFmtId="2" fontId="18" fillId="42" borderId="0" xfId="0" applyNumberFormat="1" applyFont="1" applyFill="1" applyBorder="1" applyAlignment="1">
      <alignment horizontal="center"/>
    </xf>
    <xf numFmtId="0" fontId="1" fillId="43" borderId="29" xfId="47" applyFont="1" applyFill="1" applyBorder="1" applyAlignment="1">
      <alignment horizontal="center" vertical="center"/>
    </xf>
    <xf numFmtId="168" fontId="18" fillId="44" borderId="52" xfId="0" applyNumberFormat="1" applyFont="1" applyFill="1" applyBorder="1" applyAlignment="1">
      <alignment horizontal="center"/>
    </xf>
    <xf numFmtId="168" fontId="0" fillId="44" borderId="0" xfId="0" applyNumberFormat="1" applyFill="1" applyBorder="1" applyAlignment="1"/>
    <xf numFmtId="168" fontId="0" fillId="44" borderId="14" xfId="0" applyNumberFormat="1" applyFill="1" applyBorder="1" applyAlignment="1"/>
    <xf numFmtId="0" fontId="16" fillId="0" borderId="0" xfId="0" applyFont="1" applyBorder="1"/>
    <xf numFmtId="0" fontId="0" fillId="0" borderId="0" xfId="0" applyBorder="1"/>
    <xf numFmtId="0" fontId="35" fillId="0" borderId="23" xfId="42" applyFont="1" applyBorder="1" applyAlignment="1">
      <alignment vertical="center"/>
    </xf>
    <xf numFmtId="0" fontId="35" fillId="0" borderId="17" xfId="42" applyFont="1" applyBorder="1" applyAlignment="1">
      <alignment vertical="center"/>
    </xf>
    <xf numFmtId="0" fontId="35" fillId="0" borderId="24" xfId="42" applyFont="1" applyBorder="1" applyAlignment="1">
      <alignment vertical="center"/>
    </xf>
    <xf numFmtId="0" fontId="0" fillId="0" borderId="0" xfId="0" applyBorder="1" applyAlignment="1">
      <alignment horizontal="center"/>
    </xf>
    <xf numFmtId="4" fontId="0" fillId="0" borderId="0" xfId="0" applyNumberFormat="1" applyBorder="1" applyAlignment="1">
      <alignment horizontal="center"/>
    </xf>
    <xf numFmtId="2" fontId="0" fillId="36" borderId="0" xfId="0" applyNumberFormat="1" applyFill="1" applyBorder="1" applyAlignment="1"/>
    <xf numFmtId="2" fontId="0" fillId="36" borderId="30" xfId="0" applyNumberFormat="1" applyFill="1" applyBorder="1" applyAlignment="1"/>
    <xf numFmtId="168" fontId="18" fillId="45" borderId="52" xfId="0" applyNumberFormat="1" applyFont="1" applyFill="1" applyBorder="1" applyAlignment="1">
      <alignment horizontal="center"/>
    </xf>
    <xf numFmtId="2" fontId="0" fillId="45" borderId="0" xfId="0" applyNumberFormat="1" applyFill="1" applyBorder="1" applyAlignment="1"/>
    <xf numFmtId="2" fontId="0" fillId="45" borderId="14" xfId="0" applyNumberFormat="1" applyFill="1" applyBorder="1" applyAlignment="1"/>
    <xf numFmtId="4" fontId="1" fillId="46" borderId="0" xfId="42" applyNumberFormat="1" applyFont="1" applyFill="1" applyAlignment="1">
      <alignment horizontal="center" vertical="center"/>
    </xf>
    <xf numFmtId="2" fontId="1" fillId="46" borderId="0" xfId="42" applyNumberFormat="1" applyFont="1" applyFill="1" applyAlignment="1">
      <alignment horizontal="left" vertical="center"/>
    </xf>
    <xf numFmtId="2" fontId="1" fillId="46" borderId="0" xfId="42" applyNumberFormat="1" applyFont="1" applyFill="1" applyAlignment="1">
      <alignment horizontal="center" vertical="center"/>
    </xf>
    <xf numFmtId="0" fontId="14" fillId="0" borderId="0" xfId="42" applyFont="1" applyAlignment="1">
      <alignment horizontal="left" vertical="center"/>
    </xf>
    <xf numFmtId="0" fontId="14" fillId="0" borderId="0" xfId="42" applyFont="1" applyAlignment="1">
      <alignment horizontal="center" vertical="center"/>
    </xf>
    <xf numFmtId="4" fontId="0" fillId="47" borderId="49" xfId="42" applyNumberFormat="1" applyFont="1" applyFill="1" applyBorder="1" applyAlignment="1">
      <alignment horizontal="center" vertical="center"/>
    </xf>
    <xf numFmtId="4" fontId="0" fillId="48" borderId="49" xfId="42" applyNumberFormat="1" applyFont="1" applyFill="1" applyBorder="1" applyAlignment="1">
      <alignment horizontal="center" vertical="center"/>
    </xf>
    <xf numFmtId="4" fontId="1" fillId="48" borderId="0" xfId="42" applyNumberFormat="1" applyFont="1" applyFill="1" applyAlignment="1">
      <alignment horizontal="center" vertical="center"/>
    </xf>
    <xf numFmtId="2" fontId="0" fillId="48" borderId="0" xfId="0" applyNumberFormat="1" applyFill="1" applyBorder="1" applyAlignment="1">
      <alignment horizontal="center"/>
    </xf>
    <xf numFmtId="0" fontId="51" fillId="48" borderId="0" xfId="0" applyFont="1" applyFill="1" applyAlignment="1">
      <alignment horizontal="center"/>
    </xf>
    <xf numFmtId="0" fontId="29" fillId="36" borderId="0" xfId="47" applyFill="1"/>
    <xf numFmtId="167" fontId="18" fillId="37" borderId="52" xfId="0" applyNumberFormat="1" applyFont="1" applyFill="1" applyBorder="1" applyAlignment="1">
      <alignment horizontal="center"/>
    </xf>
    <xf numFmtId="167" fontId="0" fillId="37" borderId="0" xfId="0" applyNumberFormat="1" applyFill="1" applyBorder="1" applyAlignment="1"/>
    <xf numFmtId="167" fontId="0" fillId="37" borderId="14" xfId="0" applyNumberFormat="1" applyFill="1" applyBorder="1" applyAlignment="1"/>
    <xf numFmtId="0" fontId="29" fillId="0" borderId="0" xfId="47" applyAlignment="1">
      <alignment horizontal="center"/>
    </xf>
    <xf numFmtId="17" fontId="29" fillId="0" borderId="0" xfId="47" applyNumberFormat="1" applyAlignment="1">
      <alignment horizontal="center"/>
    </xf>
    <xf numFmtId="1" fontId="29" fillId="0" borderId="0" xfId="47" applyNumberFormat="1" applyAlignment="1">
      <alignment horizontal="center"/>
    </xf>
    <xf numFmtId="167" fontId="29" fillId="0" borderId="0" xfId="47" applyNumberFormat="1" applyAlignment="1">
      <alignment horizontal="center"/>
    </xf>
    <xf numFmtId="167" fontId="29" fillId="38" borderId="0" xfId="47" applyNumberFormat="1" applyFill="1" applyAlignment="1">
      <alignment horizontal="center"/>
    </xf>
    <xf numFmtId="1" fontId="29" fillId="38" borderId="0" xfId="47" applyNumberFormat="1" applyFill="1" applyAlignment="1">
      <alignment horizontal="center"/>
    </xf>
    <xf numFmtId="0" fontId="29" fillId="38" borderId="0" xfId="47" applyFill="1" applyAlignment="1">
      <alignment horizontal="center"/>
    </xf>
    <xf numFmtId="0" fontId="0" fillId="49" borderId="0" xfId="0" applyFill="1"/>
    <xf numFmtId="0" fontId="0" fillId="42" borderId="0" xfId="0" applyFill="1"/>
    <xf numFmtId="0" fontId="0" fillId="50" borderId="0" xfId="0" applyFill="1"/>
    <xf numFmtId="0" fontId="29" fillId="50" borderId="0" xfId="47" applyFill="1" applyAlignment="1">
      <alignment horizontal="center"/>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2" xfId="45" xr:uid="{36D26D4C-73CE-2945-A9CD-51381ADF0EE2}"/>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xr:uid="{68AED989-F576-7F41-BA24-F83ADDA8E0EF}"/>
    <cellStyle name="Normal 2 2" xfId="46" xr:uid="{59A62967-9171-1A4F-A137-3F89A5062867}"/>
    <cellStyle name="Normal 2 3" xfId="47" xr:uid="{FF5F8189-9A54-BF46-BFDC-A35ED8102CE3}"/>
    <cellStyle name="Normal 3" xfId="43" xr:uid="{17E63328-F490-594F-8121-24B1A4ADF565}"/>
    <cellStyle name="Note" xfId="15" builtinId="10" customBuiltin="1"/>
    <cellStyle name="Output" xfId="10" builtinId="21" customBuiltin="1"/>
    <cellStyle name="Per cent 2" xfId="44" xr:uid="{EC3E3A46-2D05-C647-AA61-AD03D4CAAB36}"/>
    <cellStyle name="Title" xfId="1" builtinId="15" customBuiltin="1"/>
    <cellStyle name="Total" xfId="17" builtinId="25" customBuiltin="1"/>
    <cellStyle name="Warning Text" xfId="14" builtinId="11" customBuiltin="1"/>
  </cellStyles>
  <dxfs count="31">
    <dxf>
      <numFmt numFmtId="167" formatCode="0.00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0.000"/>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theme="0"/>
        <name val="Aptos Narrow"/>
        <family val="2"/>
        <scheme val="minor"/>
      </font>
      <numFmt numFmtId="4" formatCode="#,##0.00"/>
      <fill>
        <patternFill patternType="solid">
          <fgColor indexed="64"/>
          <bgColor theme="4"/>
        </patternFill>
      </fill>
      <alignment horizontal="center" vertical="center" textRotation="0" wrapText="0" indent="0" justifyLastLine="0" shrinkToFit="0" readingOrder="0"/>
    </dxf>
    <dxf>
      <fill>
        <patternFill>
          <bgColor theme="4"/>
        </patternFill>
      </fill>
    </dxf>
    <dxf>
      <font>
        <b val="0"/>
        <i val="0"/>
        <strike val="0"/>
        <condense val="0"/>
        <extend val="0"/>
        <outline val="0"/>
        <shadow val="0"/>
        <u val="none"/>
        <vertAlign val="baseline"/>
        <sz val="12"/>
        <color theme="1"/>
        <name val="Aptos Narrow"/>
        <family val="2"/>
        <scheme val="minor"/>
      </font>
      <numFmt numFmtId="4" formatCode="#,##0.00"/>
      <alignment horizontal="center" vertical="center" textRotation="0" wrapText="0" indent="0" justifyLastLine="0" shrinkToFit="0" readingOrder="0"/>
    </dxf>
    <dxf>
      <numFmt numFmtId="4" formatCode="#,##0.00"/>
    </dxf>
    <dxf>
      <font>
        <b val="0"/>
        <i val="0"/>
        <strike val="0"/>
        <condense val="0"/>
        <extend val="0"/>
        <outline val="0"/>
        <shadow val="0"/>
        <u val="none"/>
        <vertAlign val="baseline"/>
        <sz val="12"/>
        <color auto="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auto="1"/>
        <name val="Aptos Narrow"/>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 formatCode="0"/>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family val="2"/>
        <scheme val="minor"/>
      </font>
      <numFmt numFmtId="1" formatCode="0"/>
      <alignment horizontal="center" vertical="top" textRotation="0" wrapText="0" indent="0" justifyLastLine="0" shrinkToFit="0" readingOrder="0"/>
    </dxf>
    <dxf>
      <font>
        <b val="0"/>
        <i val="0"/>
        <strike val="0"/>
        <condense val="0"/>
        <extend val="0"/>
        <outline val="0"/>
        <shadow val="0"/>
        <u val="none"/>
        <vertAlign val="baseline"/>
        <sz val="12"/>
        <color theme="1"/>
        <name val="Aptos Narrow"/>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
      <font>
        <b val="0"/>
        <i val="0"/>
        <strike val="0"/>
        <condense val="0"/>
        <extend val="0"/>
        <outline val="0"/>
        <shadow val="0"/>
        <u val="none"/>
        <vertAlign val="baseline"/>
        <sz val="12"/>
        <color rgb="FF000000"/>
        <name val="Aptos Narrow"/>
        <family val="2"/>
        <scheme val="minor"/>
      </font>
    </dxf>
  </dxfs>
  <tableStyles count="0" defaultTableStyle="TableStyleMedium2" defaultPivotStyle="PivotStyleLight16"/>
  <colors>
    <mruColors>
      <color rgb="FF1EFF00"/>
      <color rgb="FFFF5D00"/>
      <color rgb="FFE97700"/>
      <color rgb="FF00DE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Impact of Engine Size on Car Price</a:t>
            </a:r>
          </a:p>
          <a:p>
            <a:pPr>
              <a:defRPr/>
            </a:pP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ln>
            <a:effectLst>
              <a:glow rad="139700">
                <a:schemeClr val="accent6">
                  <a:satMod val="175000"/>
                  <a:alpha val="14000"/>
                </a:schemeClr>
              </a:glow>
            </a:effectLst>
          </c:spPr>
          <c:marker>
            <c:symbol val="circle"/>
            <c:size val="3"/>
            <c:spPr>
              <a:solidFill>
                <a:schemeClr val="accent6">
                  <a:lumMod val="60000"/>
                  <a:lumOff val="40000"/>
                </a:schemeClr>
              </a:solidFill>
              <a:ln>
                <a:noFill/>
              </a:ln>
              <a:effectLst>
                <a:glow rad="63500">
                  <a:schemeClr val="accent6">
                    <a:satMod val="175000"/>
                    <a:alpha val="25000"/>
                  </a:schemeClr>
                </a:glow>
              </a:effectLst>
            </c:spPr>
          </c:marker>
          <c:trendline>
            <c:spPr>
              <a:ln w="25400" cap="rnd">
                <a:solidFill>
                  <a:schemeClr val="accent6">
                    <a:alpha val="50000"/>
                  </a:schemeClr>
                </a:solidFill>
              </a:ln>
              <a:effectLst/>
            </c:spPr>
            <c:trendlineType val="linear"/>
            <c:dispRSqr val="1"/>
            <c:dispEq val="1"/>
            <c:trendlineLbl>
              <c:layout>
                <c:manualLayout>
                  <c:x val="5.6871264585902664E-2"/>
                  <c:y val="-0.1124918032786885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Correlation!$H$148:$H$352</c:f>
              <c:numCache>
                <c:formatCode>General</c:formatCode>
                <c:ptCount val="205"/>
                <c:pt idx="0">
                  <c:v>130</c:v>
                </c:pt>
                <c:pt idx="1">
                  <c:v>130</c:v>
                </c:pt>
                <c:pt idx="2">
                  <c:v>152</c:v>
                </c:pt>
                <c:pt idx="3">
                  <c:v>109</c:v>
                </c:pt>
                <c:pt idx="4">
                  <c:v>136</c:v>
                </c:pt>
                <c:pt idx="5">
                  <c:v>136</c:v>
                </c:pt>
                <c:pt idx="6">
                  <c:v>136</c:v>
                </c:pt>
                <c:pt idx="7">
                  <c:v>136</c:v>
                </c:pt>
                <c:pt idx="8">
                  <c:v>131</c:v>
                </c:pt>
                <c:pt idx="9">
                  <c:v>131</c:v>
                </c:pt>
                <c:pt idx="10">
                  <c:v>108</c:v>
                </c:pt>
                <c:pt idx="11">
                  <c:v>108</c:v>
                </c:pt>
                <c:pt idx="12">
                  <c:v>164</c:v>
                </c:pt>
                <c:pt idx="13">
                  <c:v>164</c:v>
                </c:pt>
                <c:pt idx="14">
                  <c:v>164</c:v>
                </c:pt>
                <c:pt idx="15">
                  <c:v>209</c:v>
                </c:pt>
                <c:pt idx="16">
                  <c:v>209</c:v>
                </c:pt>
                <c:pt idx="17">
                  <c:v>209</c:v>
                </c:pt>
                <c:pt idx="18">
                  <c:v>61</c:v>
                </c:pt>
                <c:pt idx="19">
                  <c:v>90</c:v>
                </c:pt>
                <c:pt idx="20">
                  <c:v>90</c:v>
                </c:pt>
                <c:pt idx="21">
                  <c:v>90</c:v>
                </c:pt>
                <c:pt idx="22">
                  <c:v>90</c:v>
                </c:pt>
                <c:pt idx="23">
                  <c:v>98</c:v>
                </c:pt>
                <c:pt idx="24">
                  <c:v>90</c:v>
                </c:pt>
                <c:pt idx="25">
                  <c:v>90</c:v>
                </c:pt>
                <c:pt idx="26">
                  <c:v>90</c:v>
                </c:pt>
                <c:pt idx="27">
                  <c:v>98</c:v>
                </c:pt>
                <c:pt idx="28">
                  <c:v>122</c:v>
                </c:pt>
                <c:pt idx="29">
                  <c:v>156</c:v>
                </c:pt>
                <c:pt idx="30">
                  <c:v>92</c:v>
                </c:pt>
                <c:pt idx="31">
                  <c:v>92</c:v>
                </c:pt>
                <c:pt idx="32">
                  <c:v>79</c:v>
                </c:pt>
                <c:pt idx="33">
                  <c:v>92</c:v>
                </c:pt>
                <c:pt idx="34">
                  <c:v>92</c:v>
                </c:pt>
                <c:pt idx="35">
                  <c:v>92</c:v>
                </c:pt>
                <c:pt idx="36">
                  <c:v>92</c:v>
                </c:pt>
                <c:pt idx="37">
                  <c:v>110</c:v>
                </c:pt>
                <c:pt idx="38">
                  <c:v>110</c:v>
                </c:pt>
                <c:pt idx="39">
                  <c:v>110</c:v>
                </c:pt>
                <c:pt idx="40">
                  <c:v>110</c:v>
                </c:pt>
                <c:pt idx="41">
                  <c:v>110</c:v>
                </c:pt>
                <c:pt idx="42">
                  <c:v>110</c:v>
                </c:pt>
                <c:pt idx="43">
                  <c:v>111</c:v>
                </c:pt>
                <c:pt idx="44">
                  <c:v>90</c:v>
                </c:pt>
                <c:pt idx="45">
                  <c:v>90</c:v>
                </c:pt>
                <c:pt idx="46">
                  <c:v>119</c:v>
                </c:pt>
                <c:pt idx="47">
                  <c:v>258</c:v>
                </c:pt>
                <c:pt idx="48">
                  <c:v>258</c:v>
                </c:pt>
                <c:pt idx="49">
                  <c:v>326</c:v>
                </c:pt>
                <c:pt idx="50">
                  <c:v>91</c:v>
                </c:pt>
                <c:pt idx="51">
                  <c:v>91</c:v>
                </c:pt>
                <c:pt idx="52">
                  <c:v>91</c:v>
                </c:pt>
                <c:pt idx="53">
                  <c:v>91</c:v>
                </c:pt>
                <c:pt idx="54">
                  <c:v>91</c:v>
                </c:pt>
                <c:pt idx="55">
                  <c:v>70</c:v>
                </c:pt>
                <c:pt idx="56">
                  <c:v>70</c:v>
                </c:pt>
                <c:pt idx="57">
                  <c:v>70</c:v>
                </c:pt>
                <c:pt idx="58">
                  <c:v>80</c:v>
                </c:pt>
                <c:pt idx="59">
                  <c:v>122</c:v>
                </c:pt>
                <c:pt idx="60">
                  <c:v>122</c:v>
                </c:pt>
                <c:pt idx="61">
                  <c:v>122</c:v>
                </c:pt>
                <c:pt idx="62">
                  <c:v>122</c:v>
                </c:pt>
                <c:pt idx="63">
                  <c:v>122</c:v>
                </c:pt>
                <c:pt idx="64">
                  <c:v>122</c:v>
                </c:pt>
                <c:pt idx="65">
                  <c:v>140</c:v>
                </c:pt>
                <c:pt idx="66">
                  <c:v>134</c:v>
                </c:pt>
                <c:pt idx="67">
                  <c:v>183</c:v>
                </c:pt>
                <c:pt idx="68">
                  <c:v>183</c:v>
                </c:pt>
                <c:pt idx="69">
                  <c:v>183</c:v>
                </c:pt>
                <c:pt idx="70">
                  <c:v>183</c:v>
                </c:pt>
                <c:pt idx="71">
                  <c:v>234</c:v>
                </c:pt>
                <c:pt idx="72">
                  <c:v>234</c:v>
                </c:pt>
                <c:pt idx="73">
                  <c:v>308</c:v>
                </c:pt>
                <c:pt idx="74">
                  <c:v>304</c:v>
                </c:pt>
                <c:pt idx="75">
                  <c:v>140</c:v>
                </c:pt>
                <c:pt idx="76">
                  <c:v>92</c:v>
                </c:pt>
                <c:pt idx="77">
                  <c:v>92</c:v>
                </c:pt>
                <c:pt idx="78">
                  <c:v>92</c:v>
                </c:pt>
                <c:pt idx="79">
                  <c:v>98</c:v>
                </c:pt>
                <c:pt idx="80">
                  <c:v>110</c:v>
                </c:pt>
                <c:pt idx="81">
                  <c:v>122</c:v>
                </c:pt>
                <c:pt idx="82">
                  <c:v>156</c:v>
                </c:pt>
                <c:pt idx="83">
                  <c:v>156</c:v>
                </c:pt>
                <c:pt idx="84">
                  <c:v>156</c:v>
                </c:pt>
                <c:pt idx="85">
                  <c:v>122</c:v>
                </c:pt>
                <c:pt idx="86">
                  <c:v>122</c:v>
                </c:pt>
                <c:pt idx="87">
                  <c:v>110</c:v>
                </c:pt>
                <c:pt idx="88">
                  <c:v>110</c:v>
                </c:pt>
                <c:pt idx="89">
                  <c:v>97</c:v>
                </c:pt>
                <c:pt idx="90">
                  <c:v>103</c:v>
                </c:pt>
                <c:pt idx="91">
                  <c:v>97</c:v>
                </c:pt>
                <c:pt idx="92">
                  <c:v>97</c:v>
                </c:pt>
                <c:pt idx="93">
                  <c:v>97</c:v>
                </c:pt>
                <c:pt idx="94">
                  <c:v>97</c:v>
                </c:pt>
                <c:pt idx="95">
                  <c:v>97</c:v>
                </c:pt>
                <c:pt idx="96">
                  <c:v>97</c:v>
                </c:pt>
                <c:pt idx="97">
                  <c:v>97</c:v>
                </c:pt>
                <c:pt idx="98">
                  <c:v>97</c:v>
                </c:pt>
                <c:pt idx="99">
                  <c:v>120</c:v>
                </c:pt>
                <c:pt idx="100">
                  <c:v>120</c:v>
                </c:pt>
                <c:pt idx="101">
                  <c:v>181</c:v>
                </c:pt>
                <c:pt idx="102">
                  <c:v>181</c:v>
                </c:pt>
                <c:pt idx="103">
                  <c:v>181</c:v>
                </c:pt>
                <c:pt idx="104">
                  <c:v>181</c:v>
                </c:pt>
                <c:pt idx="105">
                  <c:v>181</c:v>
                </c:pt>
                <c:pt idx="106">
                  <c:v>181</c:v>
                </c:pt>
                <c:pt idx="107">
                  <c:v>120</c:v>
                </c:pt>
                <c:pt idx="108">
                  <c:v>152</c:v>
                </c:pt>
                <c:pt idx="109">
                  <c:v>120</c:v>
                </c:pt>
                <c:pt idx="110">
                  <c:v>152</c:v>
                </c:pt>
                <c:pt idx="111">
                  <c:v>120</c:v>
                </c:pt>
                <c:pt idx="112">
                  <c:v>152</c:v>
                </c:pt>
                <c:pt idx="113">
                  <c:v>120</c:v>
                </c:pt>
                <c:pt idx="114">
                  <c:v>152</c:v>
                </c:pt>
                <c:pt idx="115">
                  <c:v>120</c:v>
                </c:pt>
                <c:pt idx="116">
                  <c:v>152</c:v>
                </c:pt>
                <c:pt idx="117">
                  <c:v>134</c:v>
                </c:pt>
                <c:pt idx="118">
                  <c:v>90</c:v>
                </c:pt>
                <c:pt idx="119">
                  <c:v>98</c:v>
                </c:pt>
                <c:pt idx="120">
                  <c:v>90</c:v>
                </c:pt>
                <c:pt idx="121">
                  <c:v>90</c:v>
                </c:pt>
                <c:pt idx="122">
                  <c:v>98</c:v>
                </c:pt>
                <c:pt idx="123">
                  <c:v>122</c:v>
                </c:pt>
                <c:pt idx="124">
                  <c:v>156</c:v>
                </c:pt>
                <c:pt idx="125">
                  <c:v>151</c:v>
                </c:pt>
                <c:pt idx="126">
                  <c:v>194</c:v>
                </c:pt>
                <c:pt idx="127">
                  <c:v>194</c:v>
                </c:pt>
                <c:pt idx="128">
                  <c:v>194</c:v>
                </c:pt>
                <c:pt idx="129">
                  <c:v>203</c:v>
                </c:pt>
                <c:pt idx="130">
                  <c:v>132</c:v>
                </c:pt>
                <c:pt idx="131">
                  <c:v>132</c:v>
                </c:pt>
                <c:pt idx="132">
                  <c:v>121</c:v>
                </c:pt>
                <c:pt idx="133">
                  <c:v>121</c:v>
                </c:pt>
                <c:pt idx="134">
                  <c:v>121</c:v>
                </c:pt>
                <c:pt idx="135">
                  <c:v>121</c:v>
                </c:pt>
                <c:pt idx="136">
                  <c:v>121</c:v>
                </c:pt>
                <c:pt idx="137">
                  <c:v>121</c:v>
                </c:pt>
                <c:pt idx="138">
                  <c:v>97</c:v>
                </c:pt>
                <c:pt idx="139">
                  <c:v>108</c:v>
                </c:pt>
                <c:pt idx="140">
                  <c:v>108</c:v>
                </c:pt>
                <c:pt idx="141">
                  <c:v>108</c:v>
                </c:pt>
                <c:pt idx="142">
                  <c:v>108</c:v>
                </c:pt>
                <c:pt idx="143">
                  <c:v>108</c:v>
                </c:pt>
                <c:pt idx="144">
                  <c:v>108</c:v>
                </c:pt>
                <c:pt idx="145">
                  <c:v>108</c:v>
                </c:pt>
                <c:pt idx="146">
                  <c:v>108</c:v>
                </c:pt>
                <c:pt idx="147">
                  <c:v>108</c:v>
                </c:pt>
                <c:pt idx="148">
                  <c:v>108</c:v>
                </c:pt>
                <c:pt idx="149">
                  <c:v>108</c:v>
                </c:pt>
                <c:pt idx="150">
                  <c:v>92</c:v>
                </c:pt>
                <c:pt idx="151">
                  <c:v>92</c:v>
                </c:pt>
                <c:pt idx="152">
                  <c:v>92</c:v>
                </c:pt>
                <c:pt idx="153">
                  <c:v>92</c:v>
                </c:pt>
                <c:pt idx="154">
                  <c:v>92</c:v>
                </c:pt>
                <c:pt idx="155">
                  <c:v>92</c:v>
                </c:pt>
                <c:pt idx="156">
                  <c:v>98</c:v>
                </c:pt>
                <c:pt idx="157">
                  <c:v>98</c:v>
                </c:pt>
                <c:pt idx="158">
                  <c:v>110</c:v>
                </c:pt>
                <c:pt idx="159">
                  <c:v>110</c:v>
                </c:pt>
                <c:pt idx="160">
                  <c:v>98</c:v>
                </c:pt>
                <c:pt idx="161">
                  <c:v>98</c:v>
                </c:pt>
                <c:pt idx="162">
                  <c:v>98</c:v>
                </c:pt>
                <c:pt idx="163">
                  <c:v>98</c:v>
                </c:pt>
                <c:pt idx="164">
                  <c:v>98</c:v>
                </c:pt>
                <c:pt idx="165">
                  <c:v>98</c:v>
                </c:pt>
                <c:pt idx="166">
                  <c:v>98</c:v>
                </c:pt>
                <c:pt idx="167">
                  <c:v>146</c:v>
                </c:pt>
                <c:pt idx="168">
                  <c:v>146</c:v>
                </c:pt>
                <c:pt idx="169">
                  <c:v>146</c:v>
                </c:pt>
                <c:pt idx="170">
                  <c:v>146</c:v>
                </c:pt>
                <c:pt idx="171">
                  <c:v>146</c:v>
                </c:pt>
                <c:pt idx="172">
                  <c:v>146</c:v>
                </c:pt>
                <c:pt idx="173">
                  <c:v>122</c:v>
                </c:pt>
                <c:pt idx="174">
                  <c:v>110</c:v>
                </c:pt>
                <c:pt idx="175">
                  <c:v>122</c:v>
                </c:pt>
                <c:pt idx="176">
                  <c:v>122</c:v>
                </c:pt>
                <c:pt idx="177">
                  <c:v>122</c:v>
                </c:pt>
                <c:pt idx="178">
                  <c:v>171</c:v>
                </c:pt>
                <c:pt idx="179">
                  <c:v>171</c:v>
                </c:pt>
                <c:pt idx="180">
                  <c:v>171</c:v>
                </c:pt>
                <c:pt idx="181">
                  <c:v>161</c:v>
                </c:pt>
                <c:pt idx="182">
                  <c:v>97</c:v>
                </c:pt>
                <c:pt idx="183">
                  <c:v>109</c:v>
                </c:pt>
                <c:pt idx="184">
                  <c:v>97</c:v>
                </c:pt>
                <c:pt idx="185">
                  <c:v>109</c:v>
                </c:pt>
                <c:pt idx="186">
                  <c:v>109</c:v>
                </c:pt>
                <c:pt idx="187">
                  <c:v>97</c:v>
                </c:pt>
                <c:pt idx="188">
                  <c:v>109</c:v>
                </c:pt>
                <c:pt idx="189">
                  <c:v>109</c:v>
                </c:pt>
                <c:pt idx="190">
                  <c:v>109</c:v>
                </c:pt>
                <c:pt idx="191">
                  <c:v>136</c:v>
                </c:pt>
                <c:pt idx="192">
                  <c:v>97</c:v>
                </c:pt>
                <c:pt idx="193">
                  <c:v>109</c:v>
                </c:pt>
                <c:pt idx="194">
                  <c:v>141</c:v>
                </c:pt>
                <c:pt idx="195">
                  <c:v>141</c:v>
                </c:pt>
                <c:pt idx="196">
                  <c:v>141</c:v>
                </c:pt>
                <c:pt idx="197">
                  <c:v>141</c:v>
                </c:pt>
                <c:pt idx="198">
                  <c:v>130</c:v>
                </c:pt>
                <c:pt idx="199">
                  <c:v>130</c:v>
                </c:pt>
                <c:pt idx="200">
                  <c:v>141</c:v>
                </c:pt>
                <c:pt idx="201">
                  <c:v>141</c:v>
                </c:pt>
                <c:pt idx="202">
                  <c:v>173</c:v>
                </c:pt>
                <c:pt idx="203">
                  <c:v>145</c:v>
                </c:pt>
                <c:pt idx="204">
                  <c:v>141</c:v>
                </c:pt>
              </c:numCache>
            </c:numRef>
          </c:xVal>
          <c:yVal>
            <c:numRef>
              <c:f>Correlation!$V$148:$V$352</c:f>
              <c:numCache>
                <c:formatCode>General</c:formatCode>
                <c:ptCount val="205"/>
                <c:pt idx="0">
                  <c:v>13495</c:v>
                </c:pt>
                <c:pt idx="1">
                  <c:v>16500</c:v>
                </c:pt>
                <c:pt idx="2">
                  <c:v>16500</c:v>
                </c:pt>
                <c:pt idx="3">
                  <c:v>13950</c:v>
                </c:pt>
                <c:pt idx="4">
                  <c:v>17450</c:v>
                </c:pt>
                <c:pt idx="5">
                  <c:v>15250</c:v>
                </c:pt>
                <c:pt idx="6">
                  <c:v>17710</c:v>
                </c:pt>
                <c:pt idx="7">
                  <c:v>18920</c:v>
                </c:pt>
                <c:pt idx="8">
                  <c:v>23875</c:v>
                </c:pt>
                <c:pt idx="9">
                  <c:v>17859.167000000001</c:v>
                </c:pt>
                <c:pt idx="10">
                  <c:v>16430</c:v>
                </c:pt>
                <c:pt idx="11">
                  <c:v>16925</c:v>
                </c:pt>
                <c:pt idx="12">
                  <c:v>20970</c:v>
                </c:pt>
                <c:pt idx="13">
                  <c:v>21105</c:v>
                </c:pt>
                <c:pt idx="14">
                  <c:v>24565</c:v>
                </c:pt>
                <c:pt idx="15">
                  <c:v>30760</c:v>
                </c:pt>
                <c:pt idx="16">
                  <c:v>41315</c:v>
                </c:pt>
                <c:pt idx="17">
                  <c:v>36880</c:v>
                </c:pt>
                <c:pt idx="18">
                  <c:v>5151</c:v>
                </c:pt>
                <c:pt idx="19">
                  <c:v>6295</c:v>
                </c:pt>
                <c:pt idx="20">
                  <c:v>6575</c:v>
                </c:pt>
                <c:pt idx="21">
                  <c:v>5572</c:v>
                </c:pt>
                <c:pt idx="22">
                  <c:v>6377</c:v>
                </c:pt>
                <c:pt idx="23">
                  <c:v>7957</c:v>
                </c:pt>
                <c:pt idx="24">
                  <c:v>6229</c:v>
                </c:pt>
                <c:pt idx="25">
                  <c:v>6692</c:v>
                </c:pt>
                <c:pt idx="26">
                  <c:v>7609</c:v>
                </c:pt>
                <c:pt idx="27">
                  <c:v>8558</c:v>
                </c:pt>
                <c:pt idx="28">
                  <c:v>8921</c:v>
                </c:pt>
                <c:pt idx="29">
                  <c:v>12964</c:v>
                </c:pt>
                <c:pt idx="30">
                  <c:v>6479</c:v>
                </c:pt>
                <c:pt idx="31">
                  <c:v>6855</c:v>
                </c:pt>
                <c:pt idx="32">
                  <c:v>5399</c:v>
                </c:pt>
                <c:pt idx="33">
                  <c:v>6529</c:v>
                </c:pt>
                <c:pt idx="34">
                  <c:v>7129</c:v>
                </c:pt>
                <c:pt idx="35">
                  <c:v>7295</c:v>
                </c:pt>
                <c:pt idx="36">
                  <c:v>7295</c:v>
                </c:pt>
                <c:pt idx="37">
                  <c:v>7895</c:v>
                </c:pt>
                <c:pt idx="38">
                  <c:v>9095</c:v>
                </c:pt>
                <c:pt idx="39">
                  <c:v>8845</c:v>
                </c:pt>
                <c:pt idx="40">
                  <c:v>10295</c:v>
                </c:pt>
                <c:pt idx="41">
                  <c:v>12945</c:v>
                </c:pt>
                <c:pt idx="42">
                  <c:v>10345</c:v>
                </c:pt>
                <c:pt idx="43">
                  <c:v>6785</c:v>
                </c:pt>
                <c:pt idx="44">
                  <c:v>8916.5</c:v>
                </c:pt>
                <c:pt idx="45">
                  <c:v>8916.5</c:v>
                </c:pt>
                <c:pt idx="46">
                  <c:v>11048</c:v>
                </c:pt>
                <c:pt idx="47">
                  <c:v>32250</c:v>
                </c:pt>
                <c:pt idx="48">
                  <c:v>35550</c:v>
                </c:pt>
                <c:pt idx="49">
                  <c:v>36000</c:v>
                </c:pt>
                <c:pt idx="50">
                  <c:v>5195</c:v>
                </c:pt>
                <c:pt idx="51">
                  <c:v>6095</c:v>
                </c:pt>
                <c:pt idx="52">
                  <c:v>6795</c:v>
                </c:pt>
                <c:pt idx="53">
                  <c:v>6695</c:v>
                </c:pt>
                <c:pt idx="54">
                  <c:v>7395</c:v>
                </c:pt>
                <c:pt idx="55">
                  <c:v>10945</c:v>
                </c:pt>
                <c:pt idx="56">
                  <c:v>11845</c:v>
                </c:pt>
                <c:pt idx="57">
                  <c:v>13645</c:v>
                </c:pt>
                <c:pt idx="58">
                  <c:v>15645</c:v>
                </c:pt>
                <c:pt idx="59">
                  <c:v>8845</c:v>
                </c:pt>
                <c:pt idx="60">
                  <c:v>8495</c:v>
                </c:pt>
                <c:pt idx="61">
                  <c:v>10595</c:v>
                </c:pt>
                <c:pt idx="62">
                  <c:v>10245</c:v>
                </c:pt>
                <c:pt idx="63">
                  <c:v>10795</c:v>
                </c:pt>
                <c:pt idx="64">
                  <c:v>11245</c:v>
                </c:pt>
                <c:pt idx="65">
                  <c:v>18280</c:v>
                </c:pt>
                <c:pt idx="66">
                  <c:v>18344</c:v>
                </c:pt>
                <c:pt idx="67">
                  <c:v>25552</c:v>
                </c:pt>
                <c:pt idx="68">
                  <c:v>28248</c:v>
                </c:pt>
                <c:pt idx="69">
                  <c:v>28176</c:v>
                </c:pt>
                <c:pt idx="70">
                  <c:v>31600</c:v>
                </c:pt>
                <c:pt idx="71">
                  <c:v>34184</c:v>
                </c:pt>
                <c:pt idx="72">
                  <c:v>35056</c:v>
                </c:pt>
                <c:pt idx="73">
                  <c:v>40960</c:v>
                </c:pt>
                <c:pt idx="74">
                  <c:v>45400</c:v>
                </c:pt>
                <c:pt idx="75">
                  <c:v>16503</c:v>
                </c:pt>
                <c:pt idx="76">
                  <c:v>5389</c:v>
                </c:pt>
                <c:pt idx="77">
                  <c:v>6189</c:v>
                </c:pt>
                <c:pt idx="78">
                  <c:v>6669</c:v>
                </c:pt>
                <c:pt idx="79">
                  <c:v>7689</c:v>
                </c:pt>
                <c:pt idx="80">
                  <c:v>9959</c:v>
                </c:pt>
                <c:pt idx="81">
                  <c:v>8499</c:v>
                </c:pt>
                <c:pt idx="82">
                  <c:v>12629</c:v>
                </c:pt>
                <c:pt idx="83">
                  <c:v>14869</c:v>
                </c:pt>
                <c:pt idx="84">
                  <c:v>14489</c:v>
                </c:pt>
                <c:pt idx="85">
                  <c:v>6989</c:v>
                </c:pt>
                <c:pt idx="86">
                  <c:v>8189</c:v>
                </c:pt>
                <c:pt idx="87">
                  <c:v>9279</c:v>
                </c:pt>
                <c:pt idx="88">
                  <c:v>9279</c:v>
                </c:pt>
                <c:pt idx="89">
                  <c:v>5499</c:v>
                </c:pt>
                <c:pt idx="90">
                  <c:v>7099</c:v>
                </c:pt>
                <c:pt idx="91">
                  <c:v>6649</c:v>
                </c:pt>
                <c:pt idx="92">
                  <c:v>6849</c:v>
                </c:pt>
                <c:pt idx="93">
                  <c:v>7349</c:v>
                </c:pt>
                <c:pt idx="94">
                  <c:v>7299</c:v>
                </c:pt>
                <c:pt idx="95">
                  <c:v>7799</c:v>
                </c:pt>
                <c:pt idx="96">
                  <c:v>7499</c:v>
                </c:pt>
                <c:pt idx="97">
                  <c:v>7999</c:v>
                </c:pt>
                <c:pt idx="98">
                  <c:v>8249</c:v>
                </c:pt>
                <c:pt idx="99">
                  <c:v>8949</c:v>
                </c:pt>
                <c:pt idx="100">
                  <c:v>9549</c:v>
                </c:pt>
                <c:pt idx="101">
                  <c:v>13499</c:v>
                </c:pt>
                <c:pt idx="102">
                  <c:v>14399</c:v>
                </c:pt>
                <c:pt idx="103">
                  <c:v>13499</c:v>
                </c:pt>
                <c:pt idx="104">
                  <c:v>17199</c:v>
                </c:pt>
                <c:pt idx="105">
                  <c:v>19699</c:v>
                </c:pt>
                <c:pt idx="106">
                  <c:v>18399</c:v>
                </c:pt>
                <c:pt idx="107">
                  <c:v>11900</c:v>
                </c:pt>
                <c:pt idx="108">
                  <c:v>13200</c:v>
                </c:pt>
                <c:pt idx="109">
                  <c:v>12440</c:v>
                </c:pt>
                <c:pt idx="110">
                  <c:v>13860</c:v>
                </c:pt>
                <c:pt idx="111">
                  <c:v>15580</c:v>
                </c:pt>
                <c:pt idx="112">
                  <c:v>16900</c:v>
                </c:pt>
                <c:pt idx="113">
                  <c:v>16695</c:v>
                </c:pt>
                <c:pt idx="114">
                  <c:v>17075</c:v>
                </c:pt>
                <c:pt idx="115">
                  <c:v>16630</c:v>
                </c:pt>
                <c:pt idx="116">
                  <c:v>17950</c:v>
                </c:pt>
                <c:pt idx="117">
                  <c:v>18150</c:v>
                </c:pt>
                <c:pt idx="118">
                  <c:v>5572</c:v>
                </c:pt>
                <c:pt idx="119">
                  <c:v>7957</c:v>
                </c:pt>
                <c:pt idx="120">
                  <c:v>6229</c:v>
                </c:pt>
                <c:pt idx="121">
                  <c:v>6692</c:v>
                </c:pt>
                <c:pt idx="122">
                  <c:v>7609</c:v>
                </c:pt>
                <c:pt idx="123">
                  <c:v>8921</c:v>
                </c:pt>
                <c:pt idx="124">
                  <c:v>12764</c:v>
                </c:pt>
                <c:pt idx="125">
                  <c:v>22018</c:v>
                </c:pt>
                <c:pt idx="126">
                  <c:v>32528</c:v>
                </c:pt>
                <c:pt idx="127">
                  <c:v>34028</c:v>
                </c:pt>
                <c:pt idx="128">
                  <c:v>37028</c:v>
                </c:pt>
                <c:pt idx="129">
                  <c:v>31400.5</c:v>
                </c:pt>
                <c:pt idx="130">
                  <c:v>9295</c:v>
                </c:pt>
                <c:pt idx="131">
                  <c:v>9895</c:v>
                </c:pt>
                <c:pt idx="132">
                  <c:v>11850</c:v>
                </c:pt>
                <c:pt idx="133">
                  <c:v>12170</c:v>
                </c:pt>
                <c:pt idx="134">
                  <c:v>15040</c:v>
                </c:pt>
                <c:pt idx="135">
                  <c:v>15510</c:v>
                </c:pt>
                <c:pt idx="136">
                  <c:v>18150</c:v>
                </c:pt>
                <c:pt idx="137">
                  <c:v>18620</c:v>
                </c:pt>
                <c:pt idx="138">
                  <c:v>5118</c:v>
                </c:pt>
                <c:pt idx="139">
                  <c:v>7053</c:v>
                </c:pt>
                <c:pt idx="140">
                  <c:v>7603</c:v>
                </c:pt>
                <c:pt idx="141">
                  <c:v>7126</c:v>
                </c:pt>
                <c:pt idx="142">
                  <c:v>7775</c:v>
                </c:pt>
                <c:pt idx="143">
                  <c:v>9960</c:v>
                </c:pt>
                <c:pt idx="144">
                  <c:v>9233</c:v>
                </c:pt>
                <c:pt idx="145">
                  <c:v>11259</c:v>
                </c:pt>
                <c:pt idx="146">
                  <c:v>7463</c:v>
                </c:pt>
                <c:pt idx="147">
                  <c:v>10198</c:v>
                </c:pt>
                <c:pt idx="148">
                  <c:v>8013</c:v>
                </c:pt>
                <c:pt idx="149">
                  <c:v>11694</c:v>
                </c:pt>
                <c:pt idx="150">
                  <c:v>5348</c:v>
                </c:pt>
                <c:pt idx="151">
                  <c:v>6338</c:v>
                </c:pt>
                <c:pt idx="152">
                  <c:v>6488</c:v>
                </c:pt>
                <c:pt idx="153">
                  <c:v>6918</c:v>
                </c:pt>
                <c:pt idx="154">
                  <c:v>7898</c:v>
                </c:pt>
                <c:pt idx="155">
                  <c:v>8778</c:v>
                </c:pt>
                <c:pt idx="156">
                  <c:v>6938</c:v>
                </c:pt>
                <c:pt idx="157">
                  <c:v>7198</c:v>
                </c:pt>
                <c:pt idx="158">
                  <c:v>7898</c:v>
                </c:pt>
                <c:pt idx="159">
                  <c:v>7788</c:v>
                </c:pt>
                <c:pt idx="160">
                  <c:v>7738</c:v>
                </c:pt>
                <c:pt idx="161">
                  <c:v>8358</c:v>
                </c:pt>
                <c:pt idx="162">
                  <c:v>9258</c:v>
                </c:pt>
                <c:pt idx="163">
                  <c:v>8058</c:v>
                </c:pt>
                <c:pt idx="164">
                  <c:v>8238</c:v>
                </c:pt>
                <c:pt idx="165">
                  <c:v>9298</c:v>
                </c:pt>
                <c:pt idx="166">
                  <c:v>9538</c:v>
                </c:pt>
                <c:pt idx="167">
                  <c:v>8449</c:v>
                </c:pt>
                <c:pt idx="168">
                  <c:v>9639</c:v>
                </c:pt>
                <c:pt idx="169">
                  <c:v>9989</c:v>
                </c:pt>
                <c:pt idx="170">
                  <c:v>11199</c:v>
                </c:pt>
                <c:pt idx="171">
                  <c:v>11549</c:v>
                </c:pt>
                <c:pt idx="172">
                  <c:v>17669</c:v>
                </c:pt>
                <c:pt idx="173">
                  <c:v>8948</c:v>
                </c:pt>
                <c:pt idx="174">
                  <c:v>10698</c:v>
                </c:pt>
                <c:pt idx="175">
                  <c:v>9988</c:v>
                </c:pt>
                <c:pt idx="176">
                  <c:v>10898</c:v>
                </c:pt>
                <c:pt idx="177">
                  <c:v>11248</c:v>
                </c:pt>
                <c:pt idx="178">
                  <c:v>16558</c:v>
                </c:pt>
                <c:pt idx="179">
                  <c:v>15998</c:v>
                </c:pt>
                <c:pt idx="180">
                  <c:v>15690</c:v>
                </c:pt>
                <c:pt idx="181">
                  <c:v>15750</c:v>
                </c:pt>
                <c:pt idx="182">
                  <c:v>7775</c:v>
                </c:pt>
                <c:pt idx="183">
                  <c:v>7975</c:v>
                </c:pt>
                <c:pt idx="184">
                  <c:v>7995</c:v>
                </c:pt>
                <c:pt idx="185">
                  <c:v>8195</c:v>
                </c:pt>
                <c:pt idx="186">
                  <c:v>8495</c:v>
                </c:pt>
                <c:pt idx="187">
                  <c:v>9495</c:v>
                </c:pt>
                <c:pt idx="188">
                  <c:v>9995</c:v>
                </c:pt>
                <c:pt idx="189">
                  <c:v>11595</c:v>
                </c:pt>
                <c:pt idx="190">
                  <c:v>9980</c:v>
                </c:pt>
                <c:pt idx="191">
                  <c:v>13295</c:v>
                </c:pt>
                <c:pt idx="192">
                  <c:v>13845</c:v>
                </c:pt>
                <c:pt idx="193">
                  <c:v>12290</c:v>
                </c:pt>
                <c:pt idx="194">
                  <c:v>12940</c:v>
                </c:pt>
                <c:pt idx="195">
                  <c:v>13415</c:v>
                </c:pt>
                <c:pt idx="196">
                  <c:v>15985</c:v>
                </c:pt>
                <c:pt idx="197">
                  <c:v>16515</c:v>
                </c:pt>
                <c:pt idx="198">
                  <c:v>18420</c:v>
                </c:pt>
                <c:pt idx="199">
                  <c:v>18950</c:v>
                </c:pt>
                <c:pt idx="200">
                  <c:v>16845</c:v>
                </c:pt>
                <c:pt idx="201">
                  <c:v>19045</c:v>
                </c:pt>
                <c:pt idx="202">
                  <c:v>21485</c:v>
                </c:pt>
                <c:pt idx="203">
                  <c:v>22470</c:v>
                </c:pt>
                <c:pt idx="204">
                  <c:v>22625</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3B11-DF4D-BCB3-6710A4EB6DFD}"/>
            </c:ext>
          </c:extLst>
        </c:ser>
        <c:dLbls>
          <c:showLegendKey val="0"/>
          <c:showVal val="0"/>
          <c:showCatName val="0"/>
          <c:showSerName val="0"/>
          <c:showPercent val="0"/>
          <c:showBubbleSize val="0"/>
        </c:dLbls>
        <c:axId val="510185967"/>
        <c:axId val="510396687"/>
      </c:scatterChart>
      <c:valAx>
        <c:axId val="510185967"/>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Engine Size (cc)</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396687"/>
        <c:crosses val="autoZero"/>
        <c:crossBetween val="midCat"/>
      </c:valAx>
      <c:valAx>
        <c:axId val="510396687"/>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Car Price (USD)</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10185967"/>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7"/>
    </mc:Choice>
    <mc:Fallback>
      <c:style val="7"/>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Relationship Between Peak RPM and Car Price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Correlation!$V$147</c:f>
              <c:strCache>
                <c:ptCount val="1"/>
                <c:pt idx="0">
                  <c:v>Price</c:v>
                </c:pt>
              </c:strCache>
            </c:strRef>
          </c:tx>
          <c:spPr>
            <a:ln w="25400" cap="rnd">
              <a:noFill/>
            </a:ln>
            <a:effectLst>
              <a:glow rad="139700">
                <a:schemeClr val="accent5">
                  <a:satMod val="175000"/>
                  <a:alpha val="14000"/>
                </a:schemeClr>
              </a:glow>
            </a:effectLst>
          </c:spPr>
          <c:marker>
            <c:symbol val="circle"/>
            <c:size val="3"/>
            <c:spPr>
              <a:solidFill>
                <a:schemeClr val="accent5">
                  <a:lumMod val="60000"/>
                  <a:lumOff val="40000"/>
                </a:schemeClr>
              </a:solidFill>
              <a:ln>
                <a:noFill/>
              </a:ln>
              <a:effectLst>
                <a:glow rad="63500">
                  <a:schemeClr val="accent5">
                    <a:satMod val="175000"/>
                    <a:alpha val="25000"/>
                  </a:schemeClr>
                </a:glow>
              </a:effectLst>
            </c:spPr>
          </c:marker>
          <c:trendline>
            <c:spPr>
              <a:ln w="25400" cap="rnd">
                <a:solidFill>
                  <a:schemeClr val="accent6">
                    <a:alpha val="50000"/>
                  </a:schemeClr>
                </a:solidFill>
              </a:ln>
              <a:effectLst/>
            </c:spPr>
            <c:trendlineType val="linear"/>
            <c:dispRSqr val="1"/>
            <c:dispEq val="1"/>
            <c:trendlineLbl>
              <c:layout>
                <c:manualLayout>
                  <c:x val="5.9118222421663008E-2"/>
                  <c:y val="-0.5887785397793018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Correlation!$M$148:$M$352</c:f>
              <c:numCache>
                <c:formatCode>General</c:formatCode>
                <c:ptCount val="205"/>
                <c:pt idx="0">
                  <c:v>5000</c:v>
                </c:pt>
                <c:pt idx="1">
                  <c:v>5000</c:v>
                </c:pt>
                <c:pt idx="2">
                  <c:v>5000</c:v>
                </c:pt>
                <c:pt idx="3">
                  <c:v>5500</c:v>
                </c:pt>
                <c:pt idx="4">
                  <c:v>5500</c:v>
                </c:pt>
                <c:pt idx="5">
                  <c:v>5500</c:v>
                </c:pt>
                <c:pt idx="6">
                  <c:v>5500</c:v>
                </c:pt>
                <c:pt idx="7">
                  <c:v>5500</c:v>
                </c:pt>
                <c:pt idx="8">
                  <c:v>5500</c:v>
                </c:pt>
                <c:pt idx="9">
                  <c:v>5500</c:v>
                </c:pt>
                <c:pt idx="10">
                  <c:v>5800</c:v>
                </c:pt>
                <c:pt idx="11">
                  <c:v>5800</c:v>
                </c:pt>
                <c:pt idx="12">
                  <c:v>4250</c:v>
                </c:pt>
                <c:pt idx="13">
                  <c:v>4250</c:v>
                </c:pt>
                <c:pt idx="14">
                  <c:v>4250</c:v>
                </c:pt>
                <c:pt idx="15">
                  <c:v>5400</c:v>
                </c:pt>
                <c:pt idx="16">
                  <c:v>5400</c:v>
                </c:pt>
                <c:pt idx="17">
                  <c:v>5400</c:v>
                </c:pt>
                <c:pt idx="18">
                  <c:v>5100</c:v>
                </c:pt>
                <c:pt idx="19">
                  <c:v>5400</c:v>
                </c:pt>
                <c:pt idx="20">
                  <c:v>5400</c:v>
                </c:pt>
                <c:pt idx="21">
                  <c:v>5500</c:v>
                </c:pt>
                <c:pt idx="22">
                  <c:v>5500</c:v>
                </c:pt>
                <c:pt idx="23">
                  <c:v>5500</c:v>
                </c:pt>
                <c:pt idx="24">
                  <c:v>5500</c:v>
                </c:pt>
                <c:pt idx="25">
                  <c:v>5500</c:v>
                </c:pt>
                <c:pt idx="26">
                  <c:v>5500</c:v>
                </c:pt>
                <c:pt idx="27">
                  <c:v>5500</c:v>
                </c:pt>
                <c:pt idx="28">
                  <c:v>5000</c:v>
                </c:pt>
                <c:pt idx="29">
                  <c:v>5000</c:v>
                </c:pt>
                <c:pt idx="30">
                  <c:v>4800</c:v>
                </c:pt>
                <c:pt idx="31">
                  <c:v>6000</c:v>
                </c:pt>
                <c:pt idx="32">
                  <c:v>5500</c:v>
                </c:pt>
                <c:pt idx="33">
                  <c:v>6000</c:v>
                </c:pt>
                <c:pt idx="34">
                  <c:v>6000</c:v>
                </c:pt>
                <c:pt idx="35">
                  <c:v>6000</c:v>
                </c:pt>
                <c:pt idx="36">
                  <c:v>6000</c:v>
                </c:pt>
                <c:pt idx="37">
                  <c:v>5800</c:v>
                </c:pt>
                <c:pt idx="38">
                  <c:v>5800</c:v>
                </c:pt>
                <c:pt idx="39">
                  <c:v>5800</c:v>
                </c:pt>
                <c:pt idx="40">
                  <c:v>5800</c:v>
                </c:pt>
                <c:pt idx="41">
                  <c:v>5800</c:v>
                </c:pt>
                <c:pt idx="42">
                  <c:v>5500</c:v>
                </c:pt>
                <c:pt idx="43">
                  <c:v>4800</c:v>
                </c:pt>
                <c:pt idx="44">
                  <c:v>5400</c:v>
                </c:pt>
                <c:pt idx="45">
                  <c:v>5400</c:v>
                </c:pt>
                <c:pt idx="46">
                  <c:v>5000</c:v>
                </c:pt>
                <c:pt idx="47">
                  <c:v>4750</c:v>
                </c:pt>
                <c:pt idx="48">
                  <c:v>4750</c:v>
                </c:pt>
                <c:pt idx="49">
                  <c:v>5000</c:v>
                </c:pt>
                <c:pt idx="50">
                  <c:v>5000</c:v>
                </c:pt>
                <c:pt idx="51">
                  <c:v>5000</c:v>
                </c:pt>
                <c:pt idx="52">
                  <c:v>5000</c:v>
                </c:pt>
                <c:pt idx="53">
                  <c:v>5000</c:v>
                </c:pt>
                <c:pt idx="54">
                  <c:v>5000</c:v>
                </c:pt>
                <c:pt idx="55">
                  <c:v>6000</c:v>
                </c:pt>
                <c:pt idx="56">
                  <c:v>6000</c:v>
                </c:pt>
                <c:pt idx="57">
                  <c:v>6000</c:v>
                </c:pt>
                <c:pt idx="58">
                  <c:v>6000</c:v>
                </c:pt>
                <c:pt idx="59">
                  <c:v>4800</c:v>
                </c:pt>
                <c:pt idx="60">
                  <c:v>4800</c:v>
                </c:pt>
                <c:pt idx="61">
                  <c:v>4800</c:v>
                </c:pt>
                <c:pt idx="62">
                  <c:v>4800</c:v>
                </c:pt>
                <c:pt idx="63">
                  <c:v>4650</c:v>
                </c:pt>
                <c:pt idx="64">
                  <c:v>4800</c:v>
                </c:pt>
                <c:pt idx="65">
                  <c:v>5000</c:v>
                </c:pt>
                <c:pt idx="66">
                  <c:v>4200</c:v>
                </c:pt>
                <c:pt idx="67">
                  <c:v>4350</c:v>
                </c:pt>
                <c:pt idx="68">
                  <c:v>4350</c:v>
                </c:pt>
                <c:pt idx="69">
                  <c:v>4350</c:v>
                </c:pt>
                <c:pt idx="70">
                  <c:v>4350</c:v>
                </c:pt>
                <c:pt idx="71">
                  <c:v>4750</c:v>
                </c:pt>
                <c:pt idx="72">
                  <c:v>4750</c:v>
                </c:pt>
                <c:pt idx="73">
                  <c:v>4500</c:v>
                </c:pt>
                <c:pt idx="74">
                  <c:v>4500</c:v>
                </c:pt>
                <c:pt idx="75">
                  <c:v>5000</c:v>
                </c:pt>
                <c:pt idx="76">
                  <c:v>5500</c:v>
                </c:pt>
                <c:pt idx="77">
                  <c:v>5500</c:v>
                </c:pt>
                <c:pt idx="78">
                  <c:v>5500</c:v>
                </c:pt>
                <c:pt idx="79">
                  <c:v>5500</c:v>
                </c:pt>
                <c:pt idx="80">
                  <c:v>5500</c:v>
                </c:pt>
                <c:pt idx="81">
                  <c:v>5000</c:v>
                </c:pt>
                <c:pt idx="82">
                  <c:v>5000</c:v>
                </c:pt>
                <c:pt idx="83">
                  <c:v>5000</c:v>
                </c:pt>
                <c:pt idx="84">
                  <c:v>5000</c:v>
                </c:pt>
                <c:pt idx="85">
                  <c:v>5000</c:v>
                </c:pt>
                <c:pt idx="86">
                  <c:v>5000</c:v>
                </c:pt>
                <c:pt idx="87">
                  <c:v>5500</c:v>
                </c:pt>
                <c:pt idx="88">
                  <c:v>5500</c:v>
                </c:pt>
                <c:pt idx="89">
                  <c:v>5200</c:v>
                </c:pt>
                <c:pt idx="90">
                  <c:v>4800</c:v>
                </c:pt>
                <c:pt idx="91">
                  <c:v>5200</c:v>
                </c:pt>
                <c:pt idx="92">
                  <c:v>5200</c:v>
                </c:pt>
                <c:pt idx="93">
                  <c:v>5200</c:v>
                </c:pt>
                <c:pt idx="94">
                  <c:v>5200</c:v>
                </c:pt>
                <c:pt idx="95">
                  <c:v>5200</c:v>
                </c:pt>
                <c:pt idx="96">
                  <c:v>5200</c:v>
                </c:pt>
                <c:pt idx="97">
                  <c:v>5200</c:v>
                </c:pt>
                <c:pt idx="98">
                  <c:v>5200</c:v>
                </c:pt>
                <c:pt idx="99">
                  <c:v>5200</c:v>
                </c:pt>
                <c:pt idx="100">
                  <c:v>5200</c:v>
                </c:pt>
                <c:pt idx="101">
                  <c:v>5200</c:v>
                </c:pt>
                <c:pt idx="102">
                  <c:v>5200</c:v>
                </c:pt>
                <c:pt idx="103">
                  <c:v>5200</c:v>
                </c:pt>
                <c:pt idx="104">
                  <c:v>5200</c:v>
                </c:pt>
                <c:pt idx="105">
                  <c:v>5200</c:v>
                </c:pt>
                <c:pt idx="106">
                  <c:v>5200</c:v>
                </c:pt>
                <c:pt idx="107">
                  <c:v>5000</c:v>
                </c:pt>
                <c:pt idx="108">
                  <c:v>4150</c:v>
                </c:pt>
                <c:pt idx="109">
                  <c:v>5000</c:v>
                </c:pt>
                <c:pt idx="110">
                  <c:v>4150</c:v>
                </c:pt>
                <c:pt idx="111">
                  <c:v>5000</c:v>
                </c:pt>
                <c:pt idx="112">
                  <c:v>4150</c:v>
                </c:pt>
                <c:pt idx="113">
                  <c:v>5000</c:v>
                </c:pt>
                <c:pt idx="114">
                  <c:v>4150</c:v>
                </c:pt>
                <c:pt idx="115">
                  <c:v>5000</c:v>
                </c:pt>
                <c:pt idx="116">
                  <c:v>4150</c:v>
                </c:pt>
                <c:pt idx="117">
                  <c:v>5600</c:v>
                </c:pt>
                <c:pt idx="118">
                  <c:v>5500</c:v>
                </c:pt>
                <c:pt idx="119">
                  <c:v>5500</c:v>
                </c:pt>
                <c:pt idx="120">
                  <c:v>5500</c:v>
                </c:pt>
                <c:pt idx="121">
                  <c:v>5500</c:v>
                </c:pt>
                <c:pt idx="122">
                  <c:v>5500</c:v>
                </c:pt>
                <c:pt idx="123">
                  <c:v>5000</c:v>
                </c:pt>
                <c:pt idx="124">
                  <c:v>5000</c:v>
                </c:pt>
                <c:pt idx="125">
                  <c:v>5500</c:v>
                </c:pt>
                <c:pt idx="126">
                  <c:v>5900</c:v>
                </c:pt>
                <c:pt idx="127">
                  <c:v>5900</c:v>
                </c:pt>
                <c:pt idx="128">
                  <c:v>5900</c:v>
                </c:pt>
                <c:pt idx="129">
                  <c:v>5750</c:v>
                </c:pt>
                <c:pt idx="130">
                  <c:v>5100</c:v>
                </c:pt>
                <c:pt idx="131">
                  <c:v>5100</c:v>
                </c:pt>
                <c:pt idx="132">
                  <c:v>5250</c:v>
                </c:pt>
                <c:pt idx="133">
                  <c:v>5250</c:v>
                </c:pt>
                <c:pt idx="134">
                  <c:v>5250</c:v>
                </c:pt>
                <c:pt idx="135">
                  <c:v>5250</c:v>
                </c:pt>
                <c:pt idx="136">
                  <c:v>5500</c:v>
                </c:pt>
                <c:pt idx="137">
                  <c:v>5500</c:v>
                </c:pt>
                <c:pt idx="138">
                  <c:v>4900</c:v>
                </c:pt>
                <c:pt idx="139">
                  <c:v>4400</c:v>
                </c:pt>
                <c:pt idx="140">
                  <c:v>4400</c:v>
                </c:pt>
                <c:pt idx="141">
                  <c:v>4800</c:v>
                </c:pt>
                <c:pt idx="142">
                  <c:v>4400</c:v>
                </c:pt>
                <c:pt idx="143">
                  <c:v>5200</c:v>
                </c:pt>
                <c:pt idx="144">
                  <c:v>4800</c:v>
                </c:pt>
                <c:pt idx="145">
                  <c:v>4800</c:v>
                </c:pt>
                <c:pt idx="146">
                  <c:v>4800</c:v>
                </c:pt>
                <c:pt idx="147">
                  <c:v>5200</c:v>
                </c:pt>
                <c:pt idx="148">
                  <c:v>4800</c:v>
                </c:pt>
                <c:pt idx="149">
                  <c:v>4800</c:v>
                </c:pt>
                <c:pt idx="150">
                  <c:v>4800</c:v>
                </c:pt>
                <c:pt idx="151">
                  <c:v>4800</c:v>
                </c:pt>
                <c:pt idx="152">
                  <c:v>4800</c:v>
                </c:pt>
                <c:pt idx="153">
                  <c:v>4800</c:v>
                </c:pt>
                <c:pt idx="154">
                  <c:v>4800</c:v>
                </c:pt>
                <c:pt idx="155">
                  <c:v>4800</c:v>
                </c:pt>
                <c:pt idx="156">
                  <c:v>4800</c:v>
                </c:pt>
                <c:pt idx="157">
                  <c:v>4800</c:v>
                </c:pt>
                <c:pt idx="158">
                  <c:v>4500</c:v>
                </c:pt>
                <c:pt idx="159">
                  <c:v>4500</c:v>
                </c:pt>
                <c:pt idx="160">
                  <c:v>4800</c:v>
                </c:pt>
                <c:pt idx="161">
                  <c:v>4800</c:v>
                </c:pt>
                <c:pt idx="162">
                  <c:v>4800</c:v>
                </c:pt>
                <c:pt idx="163">
                  <c:v>4800</c:v>
                </c:pt>
                <c:pt idx="164">
                  <c:v>4800</c:v>
                </c:pt>
                <c:pt idx="165">
                  <c:v>6600</c:v>
                </c:pt>
                <c:pt idx="166">
                  <c:v>6600</c:v>
                </c:pt>
                <c:pt idx="167">
                  <c:v>4800</c:v>
                </c:pt>
                <c:pt idx="168">
                  <c:v>4800</c:v>
                </c:pt>
                <c:pt idx="169">
                  <c:v>4800</c:v>
                </c:pt>
                <c:pt idx="170">
                  <c:v>4800</c:v>
                </c:pt>
                <c:pt idx="171">
                  <c:v>4800</c:v>
                </c:pt>
                <c:pt idx="172">
                  <c:v>4800</c:v>
                </c:pt>
                <c:pt idx="173">
                  <c:v>4200</c:v>
                </c:pt>
                <c:pt idx="174">
                  <c:v>4500</c:v>
                </c:pt>
                <c:pt idx="175">
                  <c:v>4200</c:v>
                </c:pt>
                <c:pt idx="176">
                  <c:v>4200</c:v>
                </c:pt>
                <c:pt idx="177">
                  <c:v>4200</c:v>
                </c:pt>
                <c:pt idx="178">
                  <c:v>5200</c:v>
                </c:pt>
                <c:pt idx="179">
                  <c:v>5200</c:v>
                </c:pt>
                <c:pt idx="180">
                  <c:v>5200</c:v>
                </c:pt>
                <c:pt idx="181">
                  <c:v>5200</c:v>
                </c:pt>
                <c:pt idx="182">
                  <c:v>4800</c:v>
                </c:pt>
                <c:pt idx="183">
                  <c:v>5250</c:v>
                </c:pt>
                <c:pt idx="184">
                  <c:v>4800</c:v>
                </c:pt>
                <c:pt idx="185">
                  <c:v>5250</c:v>
                </c:pt>
                <c:pt idx="186">
                  <c:v>5250</c:v>
                </c:pt>
                <c:pt idx="187">
                  <c:v>4500</c:v>
                </c:pt>
                <c:pt idx="188">
                  <c:v>5500</c:v>
                </c:pt>
                <c:pt idx="189">
                  <c:v>5500</c:v>
                </c:pt>
                <c:pt idx="190">
                  <c:v>5500</c:v>
                </c:pt>
                <c:pt idx="191">
                  <c:v>5500</c:v>
                </c:pt>
                <c:pt idx="192">
                  <c:v>4500</c:v>
                </c:pt>
                <c:pt idx="193">
                  <c:v>5500</c:v>
                </c:pt>
                <c:pt idx="194">
                  <c:v>5400</c:v>
                </c:pt>
                <c:pt idx="195">
                  <c:v>5400</c:v>
                </c:pt>
                <c:pt idx="196">
                  <c:v>5400</c:v>
                </c:pt>
                <c:pt idx="197">
                  <c:v>5400</c:v>
                </c:pt>
                <c:pt idx="198">
                  <c:v>5100</c:v>
                </c:pt>
                <c:pt idx="199">
                  <c:v>5100</c:v>
                </c:pt>
                <c:pt idx="200">
                  <c:v>5400</c:v>
                </c:pt>
                <c:pt idx="201">
                  <c:v>5300</c:v>
                </c:pt>
                <c:pt idx="202">
                  <c:v>5500</c:v>
                </c:pt>
                <c:pt idx="203">
                  <c:v>4800</c:v>
                </c:pt>
                <c:pt idx="204">
                  <c:v>5400</c:v>
                </c:pt>
              </c:numCache>
            </c:numRef>
          </c:xVal>
          <c:yVal>
            <c:numRef>
              <c:f>Correlation!$V$148:$V$352</c:f>
              <c:numCache>
                <c:formatCode>General</c:formatCode>
                <c:ptCount val="205"/>
                <c:pt idx="0">
                  <c:v>13495</c:v>
                </c:pt>
                <c:pt idx="1">
                  <c:v>16500</c:v>
                </c:pt>
                <c:pt idx="2">
                  <c:v>16500</c:v>
                </c:pt>
                <c:pt idx="3">
                  <c:v>13950</c:v>
                </c:pt>
                <c:pt idx="4">
                  <c:v>17450</c:v>
                </c:pt>
                <c:pt idx="5">
                  <c:v>15250</c:v>
                </c:pt>
                <c:pt idx="6">
                  <c:v>17710</c:v>
                </c:pt>
                <c:pt idx="7">
                  <c:v>18920</c:v>
                </c:pt>
                <c:pt idx="8">
                  <c:v>23875</c:v>
                </c:pt>
                <c:pt idx="9">
                  <c:v>17859.167000000001</c:v>
                </c:pt>
                <c:pt idx="10">
                  <c:v>16430</c:v>
                </c:pt>
                <c:pt idx="11">
                  <c:v>16925</c:v>
                </c:pt>
                <c:pt idx="12">
                  <c:v>20970</c:v>
                </c:pt>
                <c:pt idx="13">
                  <c:v>21105</c:v>
                </c:pt>
                <c:pt idx="14">
                  <c:v>24565</c:v>
                </c:pt>
                <c:pt idx="15">
                  <c:v>30760</c:v>
                </c:pt>
                <c:pt idx="16">
                  <c:v>41315</c:v>
                </c:pt>
                <c:pt idx="17">
                  <c:v>36880</c:v>
                </c:pt>
                <c:pt idx="18">
                  <c:v>5151</c:v>
                </c:pt>
                <c:pt idx="19">
                  <c:v>6295</c:v>
                </c:pt>
                <c:pt idx="20">
                  <c:v>6575</c:v>
                </c:pt>
                <c:pt idx="21">
                  <c:v>5572</c:v>
                </c:pt>
                <c:pt idx="22">
                  <c:v>6377</c:v>
                </c:pt>
                <c:pt idx="23">
                  <c:v>7957</c:v>
                </c:pt>
                <c:pt idx="24">
                  <c:v>6229</c:v>
                </c:pt>
                <c:pt idx="25">
                  <c:v>6692</c:v>
                </c:pt>
                <c:pt idx="26">
                  <c:v>7609</c:v>
                </c:pt>
                <c:pt idx="27">
                  <c:v>8558</c:v>
                </c:pt>
                <c:pt idx="28">
                  <c:v>8921</c:v>
                </c:pt>
                <c:pt idx="29">
                  <c:v>12964</c:v>
                </c:pt>
                <c:pt idx="30">
                  <c:v>6479</c:v>
                </c:pt>
                <c:pt idx="31">
                  <c:v>6855</c:v>
                </c:pt>
                <c:pt idx="32">
                  <c:v>5399</c:v>
                </c:pt>
                <c:pt idx="33">
                  <c:v>6529</c:v>
                </c:pt>
                <c:pt idx="34">
                  <c:v>7129</c:v>
                </c:pt>
                <c:pt idx="35">
                  <c:v>7295</c:v>
                </c:pt>
                <c:pt idx="36">
                  <c:v>7295</c:v>
                </c:pt>
                <c:pt idx="37">
                  <c:v>7895</c:v>
                </c:pt>
                <c:pt idx="38">
                  <c:v>9095</c:v>
                </c:pt>
                <c:pt idx="39">
                  <c:v>8845</c:v>
                </c:pt>
                <c:pt idx="40">
                  <c:v>10295</c:v>
                </c:pt>
                <c:pt idx="41">
                  <c:v>12945</c:v>
                </c:pt>
                <c:pt idx="42">
                  <c:v>10345</c:v>
                </c:pt>
                <c:pt idx="43">
                  <c:v>6785</c:v>
                </c:pt>
                <c:pt idx="44">
                  <c:v>8916.5</c:v>
                </c:pt>
                <c:pt idx="45">
                  <c:v>8916.5</c:v>
                </c:pt>
                <c:pt idx="46">
                  <c:v>11048</c:v>
                </c:pt>
                <c:pt idx="47">
                  <c:v>32250</c:v>
                </c:pt>
                <c:pt idx="48">
                  <c:v>35550</c:v>
                </c:pt>
                <c:pt idx="49">
                  <c:v>36000</c:v>
                </c:pt>
                <c:pt idx="50">
                  <c:v>5195</c:v>
                </c:pt>
                <c:pt idx="51">
                  <c:v>6095</c:v>
                </c:pt>
                <c:pt idx="52">
                  <c:v>6795</c:v>
                </c:pt>
                <c:pt idx="53">
                  <c:v>6695</c:v>
                </c:pt>
                <c:pt idx="54">
                  <c:v>7395</c:v>
                </c:pt>
                <c:pt idx="55">
                  <c:v>10945</c:v>
                </c:pt>
                <c:pt idx="56">
                  <c:v>11845</c:v>
                </c:pt>
                <c:pt idx="57">
                  <c:v>13645</c:v>
                </c:pt>
                <c:pt idx="58">
                  <c:v>15645</c:v>
                </c:pt>
                <c:pt idx="59">
                  <c:v>8845</c:v>
                </c:pt>
                <c:pt idx="60">
                  <c:v>8495</c:v>
                </c:pt>
                <c:pt idx="61">
                  <c:v>10595</c:v>
                </c:pt>
                <c:pt idx="62">
                  <c:v>10245</c:v>
                </c:pt>
                <c:pt idx="63">
                  <c:v>10795</c:v>
                </c:pt>
                <c:pt idx="64">
                  <c:v>11245</c:v>
                </c:pt>
                <c:pt idx="65">
                  <c:v>18280</c:v>
                </c:pt>
                <c:pt idx="66">
                  <c:v>18344</c:v>
                </c:pt>
                <c:pt idx="67">
                  <c:v>25552</c:v>
                </c:pt>
                <c:pt idx="68">
                  <c:v>28248</c:v>
                </c:pt>
                <c:pt idx="69">
                  <c:v>28176</c:v>
                </c:pt>
                <c:pt idx="70">
                  <c:v>31600</c:v>
                </c:pt>
                <c:pt idx="71">
                  <c:v>34184</c:v>
                </c:pt>
                <c:pt idx="72">
                  <c:v>35056</c:v>
                </c:pt>
                <c:pt idx="73">
                  <c:v>40960</c:v>
                </c:pt>
                <c:pt idx="74">
                  <c:v>45400</c:v>
                </c:pt>
                <c:pt idx="75">
                  <c:v>16503</c:v>
                </c:pt>
                <c:pt idx="76">
                  <c:v>5389</c:v>
                </c:pt>
                <c:pt idx="77">
                  <c:v>6189</c:v>
                </c:pt>
                <c:pt idx="78">
                  <c:v>6669</c:v>
                </c:pt>
                <c:pt idx="79">
                  <c:v>7689</c:v>
                </c:pt>
                <c:pt idx="80">
                  <c:v>9959</c:v>
                </c:pt>
                <c:pt idx="81">
                  <c:v>8499</c:v>
                </c:pt>
                <c:pt idx="82">
                  <c:v>12629</c:v>
                </c:pt>
                <c:pt idx="83">
                  <c:v>14869</c:v>
                </c:pt>
                <c:pt idx="84">
                  <c:v>14489</c:v>
                </c:pt>
                <c:pt idx="85">
                  <c:v>6989</c:v>
                </c:pt>
                <c:pt idx="86">
                  <c:v>8189</c:v>
                </c:pt>
                <c:pt idx="87">
                  <c:v>9279</c:v>
                </c:pt>
                <c:pt idx="88">
                  <c:v>9279</c:v>
                </c:pt>
                <c:pt idx="89">
                  <c:v>5499</c:v>
                </c:pt>
                <c:pt idx="90">
                  <c:v>7099</c:v>
                </c:pt>
                <c:pt idx="91">
                  <c:v>6649</c:v>
                </c:pt>
                <c:pt idx="92">
                  <c:v>6849</c:v>
                </c:pt>
                <c:pt idx="93">
                  <c:v>7349</c:v>
                </c:pt>
                <c:pt idx="94">
                  <c:v>7299</c:v>
                </c:pt>
                <c:pt idx="95">
                  <c:v>7799</c:v>
                </c:pt>
                <c:pt idx="96">
                  <c:v>7499</c:v>
                </c:pt>
                <c:pt idx="97">
                  <c:v>7999</c:v>
                </c:pt>
                <c:pt idx="98">
                  <c:v>8249</c:v>
                </c:pt>
                <c:pt idx="99">
                  <c:v>8949</c:v>
                </c:pt>
                <c:pt idx="100">
                  <c:v>9549</c:v>
                </c:pt>
                <c:pt idx="101">
                  <c:v>13499</c:v>
                </c:pt>
                <c:pt idx="102">
                  <c:v>14399</c:v>
                </c:pt>
                <c:pt idx="103">
                  <c:v>13499</c:v>
                </c:pt>
                <c:pt idx="104">
                  <c:v>17199</c:v>
                </c:pt>
                <c:pt idx="105">
                  <c:v>19699</c:v>
                </c:pt>
                <c:pt idx="106">
                  <c:v>18399</c:v>
                </c:pt>
                <c:pt idx="107">
                  <c:v>11900</c:v>
                </c:pt>
                <c:pt idx="108">
                  <c:v>13200</c:v>
                </c:pt>
                <c:pt idx="109">
                  <c:v>12440</c:v>
                </c:pt>
                <c:pt idx="110">
                  <c:v>13860</c:v>
                </c:pt>
                <c:pt idx="111">
                  <c:v>15580</c:v>
                </c:pt>
                <c:pt idx="112">
                  <c:v>16900</c:v>
                </c:pt>
                <c:pt idx="113">
                  <c:v>16695</c:v>
                </c:pt>
                <c:pt idx="114">
                  <c:v>17075</c:v>
                </c:pt>
                <c:pt idx="115">
                  <c:v>16630</c:v>
                </c:pt>
                <c:pt idx="116">
                  <c:v>17950</c:v>
                </c:pt>
                <c:pt idx="117">
                  <c:v>18150</c:v>
                </c:pt>
                <c:pt idx="118">
                  <c:v>5572</c:v>
                </c:pt>
                <c:pt idx="119">
                  <c:v>7957</c:v>
                </c:pt>
                <c:pt idx="120">
                  <c:v>6229</c:v>
                </c:pt>
                <c:pt idx="121">
                  <c:v>6692</c:v>
                </c:pt>
                <c:pt idx="122">
                  <c:v>7609</c:v>
                </c:pt>
                <c:pt idx="123">
                  <c:v>8921</c:v>
                </c:pt>
                <c:pt idx="124">
                  <c:v>12764</c:v>
                </c:pt>
                <c:pt idx="125">
                  <c:v>22018</c:v>
                </c:pt>
                <c:pt idx="126">
                  <c:v>32528</c:v>
                </c:pt>
                <c:pt idx="127">
                  <c:v>34028</c:v>
                </c:pt>
                <c:pt idx="128">
                  <c:v>37028</c:v>
                </c:pt>
                <c:pt idx="129">
                  <c:v>31400.5</c:v>
                </c:pt>
                <c:pt idx="130">
                  <c:v>9295</c:v>
                </c:pt>
                <c:pt idx="131">
                  <c:v>9895</c:v>
                </c:pt>
                <c:pt idx="132">
                  <c:v>11850</c:v>
                </c:pt>
                <c:pt idx="133">
                  <c:v>12170</c:v>
                </c:pt>
                <c:pt idx="134">
                  <c:v>15040</c:v>
                </c:pt>
                <c:pt idx="135">
                  <c:v>15510</c:v>
                </c:pt>
                <c:pt idx="136">
                  <c:v>18150</c:v>
                </c:pt>
                <c:pt idx="137">
                  <c:v>18620</c:v>
                </c:pt>
                <c:pt idx="138">
                  <c:v>5118</c:v>
                </c:pt>
                <c:pt idx="139">
                  <c:v>7053</c:v>
                </c:pt>
                <c:pt idx="140">
                  <c:v>7603</c:v>
                </c:pt>
                <c:pt idx="141">
                  <c:v>7126</c:v>
                </c:pt>
                <c:pt idx="142">
                  <c:v>7775</c:v>
                </c:pt>
                <c:pt idx="143">
                  <c:v>9960</c:v>
                </c:pt>
                <c:pt idx="144">
                  <c:v>9233</c:v>
                </c:pt>
                <c:pt idx="145">
                  <c:v>11259</c:v>
                </c:pt>
                <c:pt idx="146">
                  <c:v>7463</c:v>
                </c:pt>
                <c:pt idx="147">
                  <c:v>10198</c:v>
                </c:pt>
                <c:pt idx="148">
                  <c:v>8013</c:v>
                </c:pt>
                <c:pt idx="149">
                  <c:v>11694</c:v>
                </c:pt>
                <c:pt idx="150">
                  <c:v>5348</c:v>
                </c:pt>
                <c:pt idx="151">
                  <c:v>6338</c:v>
                </c:pt>
                <c:pt idx="152">
                  <c:v>6488</c:v>
                </c:pt>
                <c:pt idx="153">
                  <c:v>6918</c:v>
                </c:pt>
                <c:pt idx="154">
                  <c:v>7898</c:v>
                </c:pt>
                <c:pt idx="155">
                  <c:v>8778</c:v>
                </c:pt>
                <c:pt idx="156">
                  <c:v>6938</c:v>
                </c:pt>
                <c:pt idx="157">
                  <c:v>7198</c:v>
                </c:pt>
                <c:pt idx="158">
                  <c:v>7898</c:v>
                </c:pt>
                <c:pt idx="159">
                  <c:v>7788</c:v>
                </c:pt>
                <c:pt idx="160">
                  <c:v>7738</c:v>
                </c:pt>
                <c:pt idx="161">
                  <c:v>8358</c:v>
                </c:pt>
                <c:pt idx="162">
                  <c:v>9258</c:v>
                </c:pt>
                <c:pt idx="163">
                  <c:v>8058</c:v>
                </c:pt>
                <c:pt idx="164">
                  <c:v>8238</c:v>
                </c:pt>
                <c:pt idx="165">
                  <c:v>9298</c:v>
                </c:pt>
                <c:pt idx="166">
                  <c:v>9538</c:v>
                </c:pt>
                <c:pt idx="167">
                  <c:v>8449</c:v>
                </c:pt>
                <c:pt idx="168">
                  <c:v>9639</c:v>
                </c:pt>
                <c:pt idx="169">
                  <c:v>9989</c:v>
                </c:pt>
                <c:pt idx="170">
                  <c:v>11199</c:v>
                </c:pt>
                <c:pt idx="171">
                  <c:v>11549</c:v>
                </c:pt>
                <c:pt idx="172">
                  <c:v>17669</c:v>
                </c:pt>
                <c:pt idx="173">
                  <c:v>8948</c:v>
                </c:pt>
                <c:pt idx="174">
                  <c:v>10698</c:v>
                </c:pt>
                <c:pt idx="175">
                  <c:v>9988</c:v>
                </c:pt>
                <c:pt idx="176">
                  <c:v>10898</c:v>
                </c:pt>
                <c:pt idx="177">
                  <c:v>11248</c:v>
                </c:pt>
                <c:pt idx="178">
                  <c:v>16558</c:v>
                </c:pt>
                <c:pt idx="179">
                  <c:v>15998</c:v>
                </c:pt>
                <c:pt idx="180">
                  <c:v>15690</c:v>
                </c:pt>
                <c:pt idx="181">
                  <c:v>15750</c:v>
                </c:pt>
                <c:pt idx="182">
                  <c:v>7775</c:v>
                </c:pt>
                <c:pt idx="183">
                  <c:v>7975</c:v>
                </c:pt>
                <c:pt idx="184">
                  <c:v>7995</c:v>
                </c:pt>
                <c:pt idx="185">
                  <c:v>8195</c:v>
                </c:pt>
                <c:pt idx="186">
                  <c:v>8495</c:v>
                </c:pt>
                <c:pt idx="187">
                  <c:v>9495</c:v>
                </c:pt>
                <c:pt idx="188">
                  <c:v>9995</c:v>
                </c:pt>
                <c:pt idx="189">
                  <c:v>11595</c:v>
                </c:pt>
                <c:pt idx="190">
                  <c:v>9980</c:v>
                </c:pt>
                <c:pt idx="191">
                  <c:v>13295</c:v>
                </c:pt>
                <c:pt idx="192">
                  <c:v>13845</c:v>
                </c:pt>
                <c:pt idx="193">
                  <c:v>12290</c:v>
                </c:pt>
                <c:pt idx="194">
                  <c:v>12940</c:v>
                </c:pt>
                <c:pt idx="195">
                  <c:v>13415</c:v>
                </c:pt>
                <c:pt idx="196">
                  <c:v>15985</c:v>
                </c:pt>
                <c:pt idx="197">
                  <c:v>16515</c:v>
                </c:pt>
                <c:pt idx="198">
                  <c:v>18420</c:v>
                </c:pt>
                <c:pt idx="199">
                  <c:v>18950</c:v>
                </c:pt>
                <c:pt idx="200">
                  <c:v>16845</c:v>
                </c:pt>
                <c:pt idx="201">
                  <c:v>19045</c:v>
                </c:pt>
                <c:pt idx="202">
                  <c:v>21485</c:v>
                </c:pt>
                <c:pt idx="203">
                  <c:v>22470</c:v>
                </c:pt>
                <c:pt idx="204">
                  <c:v>22625</c:v>
                </c:pt>
              </c:numCache>
            </c:numRef>
          </c:yVal>
          <c:smooth val="0"/>
          <c:extLst>
            <c:ext xmlns:c16="http://schemas.microsoft.com/office/drawing/2014/chart" uri="{C3380CC4-5D6E-409C-BE32-E72D297353CC}">
              <c16:uniqueId val="{00000000-AA2A-4647-9E04-1D9D86D72E92}"/>
            </c:ext>
          </c:extLst>
        </c:ser>
        <c:dLbls>
          <c:showLegendKey val="0"/>
          <c:showVal val="0"/>
          <c:showCatName val="0"/>
          <c:showSerName val="0"/>
          <c:showPercent val="0"/>
          <c:showBubbleSize val="0"/>
        </c:dLbls>
        <c:axId val="981197775"/>
        <c:axId val="981382479"/>
      </c:scatterChart>
      <c:valAx>
        <c:axId val="981197775"/>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PEAKRPM</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1382479"/>
        <c:crosses val="autoZero"/>
        <c:crossBetween val="midCat"/>
      </c:valAx>
      <c:valAx>
        <c:axId val="981382479"/>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IN"/>
                  <a:t>Car Price (USD)</a:t>
                </a:r>
                <a:endParaRPr lang="en-GB"/>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981197775"/>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Effect of Engine Stroke on Car Price</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Correlation!$V$147</c:f>
              <c:strCache>
                <c:ptCount val="1"/>
                <c:pt idx="0">
                  <c:v>Price</c:v>
                </c:pt>
              </c:strCache>
            </c:strRef>
          </c:tx>
          <c:spPr>
            <a:ln w="25400" cap="rnd">
              <a:no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trendline>
            <c:spPr>
              <a:ln w="25400" cap="rnd">
                <a:solidFill>
                  <a:schemeClr val="accent2">
                    <a:lumMod val="75000"/>
                    <a:alpha val="50000"/>
                  </a:schemeClr>
                </a:solidFill>
              </a:ln>
              <a:effectLst/>
            </c:spPr>
            <c:trendlineType val="linear"/>
            <c:dispRSqr val="1"/>
            <c:dispEq val="1"/>
            <c:trendlineLbl>
              <c:layout>
                <c:manualLayout>
                  <c:x val="7.2111804206292401E-2"/>
                  <c:y val="-0.5291788921121701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rendlineLbl>
          </c:trendline>
          <c:xVal>
            <c:numRef>
              <c:f>Correlation!$J$148:$J$352</c:f>
              <c:numCache>
                <c:formatCode>General</c:formatCode>
                <c:ptCount val="205"/>
                <c:pt idx="0">
                  <c:v>2.68</c:v>
                </c:pt>
                <c:pt idx="1">
                  <c:v>2.68</c:v>
                </c:pt>
                <c:pt idx="2">
                  <c:v>3.47</c:v>
                </c:pt>
                <c:pt idx="3">
                  <c:v>3.4</c:v>
                </c:pt>
                <c:pt idx="4">
                  <c:v>3.4</c:v>
                </c:pt>
                <c:pt idx="5">
                  <c:v>3.4</c:v>
                </c:pt>
                <c:pt idx="6">
                  <c:v>3.4</c:v>
                </c:pt>
                <c:pt idx="7">
                  <c:v>3.4</c:v>
                </c:pt>
                <c:pt idx="8">
                  <c:v>3.4</c:v>
                </c:pt>
                <c:pt idx="9">
                  <c:v>3.4</c:v>
                </c:pt>
                <c:pt idx="10">
                  <c:v>2.8</c:v>
                </c:pt>
                <c:pt idx="11">
                  <c:v>2.8</c:v>
                </c:pt>
                <c:pt idx="12">
                  <c:v>3.19</c:v>
                </c:pt>
                <c:pt idx="13">
                  <c:v>3.19</c:v>
                </c:pt>
                <c:pt idx="14">
                  <c:v>3.19</c:v>
                </c:pt>
                <c:pt idx="15">
                  <c:v>3.39</c:v>
                </c:pt>
                <c:pt idx="16">
                  <c:v>3.39</c:v>
                </c:pt>
                <c:pt idx="17">
                  <c:v>3.39</c:v>
                </c:pt>
                <c:pt idx="18">
                  <c:v>3.03</c:v>
                </c:pt>
                <c:pt idx="19">
                  <c:v>3.11</c:v>
                </c:pt>
                <c:pt idx="20">
                  <c:v>3.11</c:v>
                </c:pt>
                <c:pt idx="21">
                  <c:v>3.23</c:v>
                </c:pt>
                <c:pt idx="22">
                  <c:v>3.23</c:v>
                </c:pt>
                <c:pt idx="23">
                  <c:v>3.39</c:v>
                </c:pt>
                <c:pt idx="24">
                  <c:v>3.23</c:v>
                </c:pt>
                <c:pt idx="25">
                  <c:v>3.23</c:v>
                </c:pt>
                <c:pt idx="26">
                  <c:v>3.23</c:v>
                </c:pt>
                <c:pt idx="27">
                  <c:v>3.39</c:v>
                </c:pt>
                <c:pt idx="28">
                  <c:v>3.46</c:v>
                </c:pt>
                <c:pt idx="29">
                  <c:v>3.9</c:v>
                </c:pt>
                <c:pt idx="30">
                  <c:v>3.41</c:v>
                </c:pt>
                <c:pt idx="31">
                  <c:v>3.41</c:v>
                </c:pt>
                <c:pt idx="32">
                  <c:v>3.07</c:v>
                </c:pt>
                <c:pt idx="33">
                  <c:v>3.41</c:v>
                </c:pt>
                <c:pt idx="34">
                  <c:v>3.41</c:v>
                </c:pt>
                <c:pt idx="35">
                  <c:v>3.41</c:v>
                </c:pt>
                <c:pt idx="36">
                  <c:v>3.41</c:v>
                </c:pt>
                <c:pt idx="37">
                  <c:v>3.58</c:v>
                </c:pt>
                <c:pt idx="38">
                  <c:v>3.58</c:v>
                </c:pt>
                <c:pt idx="39">
                  <c:v>3.58</c:v>
                </c:pt>
                <c:pt idx="40">
                  <c:v>3.58</c:v>
                </c:pt>
                <c:pt idx="41">
                  <c:v>3.58</c:v>
                </c:pt>
                <c:pt idx="42">
                  <c:v>3.58</c:v>
                </c:pt>
                <c:pt idx="43">
                  <c:v>3.23</c:v>
                </c:pt>
                <c:pt idx="44">
                  <c:v>3.11</c:v>
                </c:pt>
                <c:pt idx="45">
                  <c:v>3.11</c:v>
                </c:pt>
                <c:pt idx="46">
                  <c:v>3.23</c:v>
                </c:pt>
                <c:pt idx="47">
                  <c:v>4.17</c:v>
                </c:pt>
                <c:pt idx="48">
                  <c:v>4.17</c:v>
                </c:pt>
                <c:pt idx="49">
                  <c:v>2.76</c:v>
                </c:pt>
                <c:pt idx="50">
                  <c:v>3.15</c:v>
                </c:pt>
                <c:pt idx="51">
                  <c:v>3.15</c:v>
                </c:pt>
                <c:pt idx="52">
                  <c:v>3.15</c:v>
                </c:pt>
                <c:pt idx="53">
                  <c:v>3.15</c:v>
                </c:pt>
                <c:pt idx="54">
                  <c:v>3.15</c:v>
                </c:pt>
                <c:pt idx="55">
                  <c:v>3.2549999999999999</c:v>
                </c:pt>
                <c:pt idx="56">
                  <c:v>3.2549999999999999</c:v>
                </c:pt>
                <c:pt idx="57">
                  <c:v>3.2549999999999999</c:v>
                </c:pt>
                <c:pt idx="58">
                  <c:v>3.2549999999999999</c:v>
                </c:pt>
                <c:pt idx="59">
                  <c:v>3.39</c:v>
                </c:pt>
                <c:pt idx="60">
                  <c:v>3.39</c:v>
                </c:pt>
                <c:pt idx="61">
                  <c:v>3.39</c:v>
                </c:pt>
                <c:pt idx="62">
                  <c:v>3.39</c:v>
                </c:pt>
                <c:pt idx="63">
                  <c:v>3.39</c:v>
                </c:pt>
                <c:pt idx="64">
                  <c:v>3.39</c:v>
                </c:pt>
                <c:pt idx="65">
                  <c:v>3.16</c:v>
                </c:pt>
                <c:pt idx="66">
                  <c:v>3.64</c:v>
                </c:pt>
                <c:pt idx="67">
                  <c:v>3.64</c:v>
                </c:pt>
                <c:pt idx="68">
                  <c:v>3.64</c:v>
                </c:pt>
                <c:pt idx="69">
                  <c:v>3.64</c:v>
                </c:pt>
                <c:pt idx="70">
                  <c:v>3.64</c:v>
                </c:pt>
                <c:pt idx="71">
                  <c:v>3.1</c:v>
                </c:pt>
                <c:pt idx="72">
                  <c:v>3.1</c:v>
                </c:pt>
                <c:pt idx="73">
                  <c:v>3.35</c:v>
                </c:pt>
                <c:pt idx="74">
                  <c:v>3.35</c:v>
                </c:pt>
                <c:pt idx="75">
                  <c:v>3.12</c:v>
                </c:pt>
                <c:pt idx="76">
                  <c:v>3.23</c:v>
                </c:pt>
                <c:pt idx="77">
                  <c:v>3.23</c:v>
                </c:pt>
                <c:pt idx="78">
                  <c:v>3.23</c:v>
                </c:pt>
                <c:pt idx="79">
                  <c:v>3.39</c:v>
                </c:pt>
                <c:pt idx="80">
                  <c:v>3.46</c:v>
                </c:pt>
                <c:pt idx="81">
                  <c:v>3.46</c:v>
                </c:pt>
                <c:pt idx="82">
                  <c:v>3.86</c:v>
                </c:pt>
                <c:pt idx="83">
                  <c:v>3.86</c:v>
                </c:pt>
                <c:pt idx="84">
                  <c:v>3.86</c:v>
                </c:pt>
                <c:pt idx="85">
                  <c:v>3.46</c:v>
                </c:pt>
                <c:pt idx="86">
                  <c:v>3.46</c:v>
                </c:pt>
                <c:pt idx="87">
                  <c:v>3.46</c:v>
                </c:pt>
                <c:pt idx="88">
                  <c:v>3.46</c:v>
                </c:pt>
                <c:pt idx="89">
                  <c:v>3.29</c:v>
                </c:pt>
                <c:pt idx="90">
                  <c:v>3.47</c:v>
                </c:pt>
                <c:pt idx="91">
                  <c:v>3.29</c:v>
                </c:pt>
                <c:pt idx="92">
                  <c:v>3.29</c:v>
                </c:pt>
                <c:pt idx="93">
                  <c:v>3.29</c:v>
                </c:pt>
                <c:pt idx="94">
                  <c:v>3.29</c:v>
                </c:pt>
                <c:pt idx="95">
                  <c:v>3.29</c:v>
                </c:pt>
                <c:pt idx="96">
                  <c:v>3.29</c:v>
                </c:pt>
                <c:pt idx="97">
                  <c:v>3.29</c:v>
                </c:pt>
                <c:pt idx="98">
                  <c:v>3.29</c:v>
                </c:pt>
                <c:pt idx="99">
                  <c:v>3.47</c:v>
                </c:pt>
                <c:pt idx="100">
                  <c:v>3.47</c:v>
                </c:pt>
                <c:pt idx="101">
                  <c:v>3.27</c:v>
                </c:pt>
                <c:pt idx="102">
                  <c:v>3.27</c:v>
                </c:pt>
                <c:pt idx="103">
                  <c:v>3.27</c:v>
                </c:pt>
                <c:pt idx="104">
                  <c:v>3.27</c:v>
                </c:pt>
                <c:pt idx="105">
                  <c:v>3.27</c:v>
                </c:pt>
                <c:pt idx="106">
                  <c:v>3.27</c:v>
                </c:pt>
                <c:pt idx="107">
                  <c:v>3.19</c:v>
                </c:pt>
                <c:pt idx="108">
                  <c:v>3.52</c:v>
                </c:pt>
                <c:pt idx="109">
                  <c:v>3.19</c:v>
                </c:pt>
                <c:pt idx="110">
                  <c:v>3.52</c:v>
                </c:pt>
                <c:pt idx="111">
                  <c:v>2.19</c:v>
                </c:pt>
                <c:pt idx="112">
                  <c:v>3.52</c:v>
                </c:pt>
                <c:pt idx="113">
                  <c:v>2.19</c:v>
                </c:pt>
                <c:pt idx="114">
                  <c:v>3.52</c:v>
                </c:pt>
                <c:pt idx="115">
                  <c:v>3.19</c:v>
                </c:pt>
                <c:pt idx="116">
                  <c:v>3.52</c:v>
                </c:pt>
                <c:pt idx="117">
                  <c:v>3.21</c:v>
                </c:pt>
                <c:pt idx="118">
                  <c:v>3.23</c:v>
                </c:pt>
                <c:pt idx="119">
                  <c:v>3.39</c:v>
                </c:pt>
                <c:pt idx="120">
                  <c:v>3.23</c:v>
                </c:pt>
                <c:pt idx="121">
                  <c:v>3.23</c:v>
                </c:pt>
                <c:pt idx="122">
                  <c:v>3.23</c:v>
                </c:pt>
                <c:pt idx="123">
                  <c:v>3.46</c:v>
                </c:pt>
                <c:pt idx="124">
                  <c:v>3.86</c:v>
                </c:pt>
                <c:pt idx="125">
                  <c:v>3.11</c:v>
                </c:pt>
                <c:pt idx="126">
                  <c:v>2.9</c:v>
                </c:pt>
                <c:pt idx="127">
                  <c:v>2.9</c:v>
                </c:pt>
                <c:pt idx="128">
                  <c:v>2.9</c:v>
                </c:pt>
                <c:pt idx="129">
                  <c:v>3.11</c:v>
                </c:pt>
                <c:pt idx="130">
                  <c:v>3.9</c:v>
                </c:pt>
                <c:pt idx="131">
                  <c:v>3.9</c:v>
                </c:pt>
                <c:pt idx="132">
                  <c:v>3.07</c:v>
                </c:pt>
                <c:pt idx="133">
                  <c:v>3.07</c:v>
                </c:pt>
                <c:pt idx="134">
                  <c:v>2.0699999999999998</c:v>
                </c:pt>
                <c:pt idx="135">
                  <c:v>3.07</c:v>
                </c:pt>
                <c:pt idx="136">
                  <c:v>3.07</c:v>
                </c:pt>
                <c:pt idx="137">
                  <c:v>3.07</c:v>
                </c:pt>
                <c:pt idx="138">
                  <c:v>2.36</c:v>
                </c:pt>
                <c:pt idx="139">
                  <c:v>2.64</c:v>
                </c:pt>
                <c:pt idx="140">
                  <c:v>2.64</c:v>
                </c:pt>
                <c:pt idx="141">
                  <c:v>2.64</c:v>
                </c:pt>
                <c:pt idx="142">
                  <c:v>2.64</c:v>
                </c:pt>
                <c:pt idx="143">
                  <c:v>2.64</c:v>
                </c:pt>
                <c:pt idx="144">
                  <c:v>2.64</c:v>
                </c:pt>
                <c:pt idx="145">
                  <c:v>2.64</c:v>
                </c:pt>
                <c:pt idx="146">
                  <c:v>2.64</c:v>
                </c:pt>
                <c:pt idx="147">
                  <c:v>2.64</c:v>
                </c:pt>
                <c:pt idx="148">
                  <c:v>2.64</c:v>
                </c:pt>
                <c:pt idx="149">
                  <c:v>2.64</c:v>
                </c:pt>
                <c:pt idx="150">
                  <c:v>3.03</c:v>
                </c:pt>
                <c:pt idx="151">
                  <c:v>3.03</c:v>
                </c:pt>
                <c:pt idx="152">
                  <c:v>3.03</c:v>
                </c:pt>
                <c:pt idx="153">
                  <c:v>3.03</c:v>
                </c:pt>
                <c:pt idx="154">
                  <c:v>3.03</c:v>
                </c:pt>
                <c:pt idx="155">
                  <c:v>3.03</c:v>
                </c:pt>
                <c:pt idx="156">
                  <c:v>3.03</c:v>
                </c:pt>
                <c:pt idx="157">
                  <c:v>3.03</c:v>
                </c:pt>
                <c:pt idx="158">
                  <c:v>3.35</c:v>
                </c:pt>
                <c:pt idx="159">
                  <c:v>3.35</c:v>
                </c:pt>
                <c:pt idx="160">
                  <c:v>3.03</c:v>
                </c:pt>
                <c:pt idx="161">
                  <c:v>3.03</c:v>
                </c:pt>
                <c:pt idx="162">
                  <c:v>3.03</c:v>
                </c:pt>
                <c:pt idx="163">
                  <c:v>3.03</c:v>
                </c:pt>
                <c:pt idx="164">
                  <c:v>3.03</c:v>
                </c:pt>
                <c:pt idx="165">
                  <c:v>3.08</c:v>
                </c:pt>
                <c:pt idx="166">
                  <c:v>3.08</c:v>
                </c:pt>
                <c:pt idx="167">
                  <c:v>3.5</c:v>
                </c:pt>
                <c:pt idx="168">
                  <c:v>3.5</c:v>
                </c:pt>
                <c:pt idx="169">
                  <c:v>3.5</c:v>
                </c:pt>
                <c:pt idx="170">
                  <c:v>3.5</c:v>
                </c:pt>
                <c:pt idx="171">
                  <c:v>3.5</c:v>
                </c:pt>
                <c:pt idx="172">
                  <c:v>3.5</c:v>
                </c:pt>
                <c:pt idx="173">
                  <c:v>3.54</c:v>
                </c:pt>
                <c:pt idx="174">
                  <c:v>3.35</c:v>
                </c:pt>
                <c:pt idx="175">
                  <c:v>3.54</c:v>
                </c:pt>
                <c:pt idx="176">
                  <c:v>3.54</c:v>
                </c:pt>
                <c:pt idx="177">
                  <c:v>3.54</c:v>
                </c:pt>
                <c:pt idx="178">
                  <c:v>3.35</c:v>
                </c:pt>
                <c:pt idx="179">
                  <c:v>3.35</c:v>
                </c:pt>
                <c:pt idx="180">
                  <c:v>3.35</c:v>
                </c:pt>
                <c:pt idx="181">
                  <c:v>3.35</c:v>
                </c:pt>
                <c:pt idx="182">
                  <c:v>3.4</c:v>
                </c:pt>
                <c:pt idx="183">
                  <c:v>3.4</c:v>
                </c:pt>
                <c:pt idx="184">
                  <c:v>3.4</c:v>
                </c:pt>
                <c:pt idx="185">
                  <c:v>3.4</c:v>
                </c:pt>
                <c:pt idx="186">
                  <c:v>3.4</c:v>
                </c:pt>
                <c:pt idx="187">
                  <c:v>3.4</c:v>
                </c:pt>
                <c:pt idx="188">
                  <c:v>3.4</c:v>
                </c:pt>
                <c:pt idx="189">
                  <c:v>3.4</c:v>
                </c:pt>
                <c:pt idx="190">
                  <c:v>3.4</c:v>
                </c:pt>
                <c:pt idx="191">
                  <c:v>3.4</c:v>
                </c:pt>
                <c:pt idx="192">
                  <c:v>3.4</c:v>
                </c:pt>
                <c:pt idx="193">
                  <c:v>3.4</c:v>
                </c:pt>
                <c:pt idx="194">
                  <c:v>3.15</c:v>
                </c:pt>
                <c:pt idx="195">
                  <c:v>3.15</c:v>
                </c:pt>
                <c:pt idx="196">
                  <c:v>3.15</c:v>
                </c:pt>
                <c:pt idx="197">
                  <c:v>3.15</c:v>
                </c:pt>
                <c:pt idx="198">
                  <c:v>3.15</c:v>
                </c:pt>
                <c:pt idx="199">
                  <c:v>3.15</c:v>
                </c:pt>
                <c:pt idx="200">
                  <c:v>3.15</c:v>
                </c:pt>
                <c:pt idx="201">
                  <c:v>3.15</c:v>
                </c:pt>
                <c:pt idx="202">
                  <c:v>2.87</c:v>
                </c:pt>
                <c:pt idx="203">
                  <c:v>3.4</c:v>
                </c:pt>
                <c:pt idx="204">
                  <c:v>3.15</c:v>
                </c:pt>
              </c:numCache>
            </c:numRef>
          </c:xVal>
          <c:yVal>
            <c:numRef>
              <c:f>Correlation!$V$148:$V$352</c:f>
              <c:numCache>
                <c:formatCode>General</c:formatCode>
                <c:ptCount val="205"/>
                <c:pt idx="0">
                  <c:v>13495</c:v>
                </c:pt>
                <c:pt idx="1">
                  <c:v>16500</c:v>
                </c:pt>
                <c:pt idx="2">
                  <c:v>16500</c:v>
                </c:pt>
                <c:pt idx="3">
                  <c:v>13950</c:v>
                </c:pt>
                <c:pt idx="4">
                  <c:v>17450</c:v>
                </c:pt>
                <c:pt idx="5">
                  <c:v>15250</c:v>
                </c:pt>
                <c:pt idx="6">
                  <c:v>17710</c:v>
                </c:pt>
                <c:pt idx="7">
                  <c:v>18920</c:v>
                </c:pt>
                <c:pt idx="8">
                  <c:v>23875</c:v>
                </c:pt>
                <c:pt idx="9">
                  <c:v>17859.167000000001</c:v>
                </c:pt>
                <c:pt idx="10">
                  <c:v>16430</c:v>
                </c:pt>
                <c:pt idx="11">
                  <c:v>16925</c:v>
                </c:pt>
                <c:pt idx="12">
                  <c:v>20970</c:v>
                </c:pt>
                <c:pt idx="13">
                  <c:v>21105</c:v>
                </c:pt>
                <c:pt idx="14">
                  <c:v>24565</c:v>
                </c:pt>
                <c:pt idx="15">
                  <c:v>30760</c:v>
                </c:pt>
                <c:pt idx="16">
                  <c:v>41315</c:v>
                </c:pt>
                <c:pt idx="17">
                  <c:v>36880</c:v>
                </c:pt>
                <c:pt idx="18">
                  <c:v>5151</c:v>
                </c:pt>
                <c:pt idx="19">
                  <c:v>6295</c:v>
                </c:pt>
                <c:pt idx="20">
                  <c:v>6575</c:v>
                </c:pt>
                <c:pt idx="21">
                  <c:v>5572</c:v>
                </c:pt>
                <c:pt idx="22">
                  <c:v>6377</c:v>
                </c:pt>
                <c:pt idx="23">
                  <c:v>7957</c:v>
                </c:pt>
                <c:pt idx="24">
                  <c:v>6229</c:v>
                </c:pt>
                <c:pt idx="25">
                  <c:v>6692</c:v>
                </c:pt>
                <c:pt idx="26">
                  <c:v>7609</c:v>
                </c:pt>
                <c:pt idx="27">
                  <c:v>8558</c:v>
                </c:pt>
                <c:pt idx="28">
                  <c:v>8921</c:v>
                </c:pt>
                <c:pt idx="29">
                  <c:v>12964</c:v>
                </c:pt>
                <c:pt idx="30">
                  <c:v>6479</c:v>
                </c:pt>
                <c:pt idx="31">
                  <c:v>6855</c:v>
                </c:pt>
                <c:pt idx="32">
                  <c:v>5399</c:v>
                </c:pt>
                <c:pt idx="33">
                  <c:v>6529</c:v>
                </c:pt>
                <c:pt idx="34">
                  <c:v>7129</c:v>
                </c:pt>
                <c:pt idx="35">
                  <c:v>7295</c:v>
                </c:pt>
                <c:pt idx="36">
                  <c:v>7295</c:v>
                </c:pt>
                <c:pt idx="37">
                  <c:v>7895</c:v>
                </c:pt>
                <c:pt idx="38">
                  <c:v>9095</c:v>
                </c:pt>
                <c:pt idx="39">
                  <c:v>8845</c:v>
                </c:pt>
                <c:pt idx="40">
                  <c:v>10295</c:v>
                </c:pt>
                <c:pt idx="41">
                  <c:v>12945</c:v>
                </c:pt>
                <c:pt idx="42">
                  <c:v>10345</c:v>
                </c:pt>
                <c:pt idx="43">
                  <c:v>6785</c:v>
                </c:pt>
                <c:pt idx="44">
                  <c:v>8916.5</c:v>
                </c:pt>
                <c:pt idx="45">
                  <c:v>8916.5</c:v>
                </c:pt>
                <c:pt idx="46">
                  <c:v>11048</c:v>
                </c:pt>
                <c:pt idx="47">
                  <c:v>32250</c:v>
                </c:pt>
                <c:pt idx="48">
                  <c:v>35550</c:v>
                </c:pt>
                <c:pt idx="49">
                  <c:v>36000</c:v>
                </c:pt>
                <c:pt idx="50">
                  <c:v>5195</c:v>
                </c:pt>
                <c:pt idx="51">
                  <c:v>6095</c:v>
                </c:pt>
                <c:pt idx="52">
                  <c:v>6795</c:v>
                </c:pt>
                <c:pt idx="53">
                  <c:v>6695</c:v>
                </c:pt>
                <c:pt idx="54">
                  <c:v>7395</c:v>
                </c:pt>
                <c:pt idx="55">
                  <c:v>10945</c:v>
                </c:pt>
                <c:pt idx="56">
                  <c:v>11845</c:v>
                </c:pt>
                <c:pt idx="57">
                  <c:v>13645</c:v>
                </c:pt>
                <c:pt idx="58">
                  <c:v>15645</c:v>
                </c:pt>
                <c:pt idx="59">
                  <c:v>8845</c:v>
                </c:pt>
                <c:pt idx="60">
                  <c:v>8495</c:v>
                </c:pt>
                <c:pt idx="61">
                  <c:v>10595</c:v>
                </c:pt>
                <c:pt idx="62">
                  <c:v>10245</c:v>
                </c:pt>
                <c:pt idx="63">
                  <c:v>10795</c:v>
                </c:pt>
                <c:pt idx="64">
                  <c:v>11245</c:v>
                </c:pt>
                <c:pt idx="65">
                  <c:v>18280</c:v>
                </c:pt>
                <c:pt idx="66">
                  <c:v>18344</c:v>
                </c:pt>
                <c:pt idx="67">
                  <c:v>25552</c:v>
                </c:pt>
                <c:pt idx="68">
                  <c:v>28248</c:v>
                </c:pt>
                <c:pt idx="69">
                  <c:v>28176</c:v>
                </c:pt>
                <c:pt idx="70">
                  <c:v>31600</c:v>
                </c:pt>
                <c:pt idx="71">
                  <c:v>34184</c:v>
                </c:pt>
                <c:pt idx="72">
                  <c:v>35056</c:v>
                </c:pt>
                <c:pt idx="73">
                  <c:v>40960</c:v>
                </c:pt>
                <c:pt idx="74">
                  <c:v>45400</c:v>
                </c:pt>
                <c:pt idx="75">
                  <c:v>16503</c:v>
                </c:pt>
                <c:pt idx="76">
                  <c:v>5389</c:v>
                </c:pt>
                <c:pt idx="77">
                  <c:v>6189</c:v>
                </c:pt>
                <c:pt idx="78">
                  <c:v>6669</c:v>
                </c:pt>
                <c:pt idx="79">
                  <c:v>7689</c:v>
                </c:pt>
                <c:pt idx="80">
                  <c:v>9959</c:v>
                </c:pt>
                <c:pt idx="81">
                  <c:v>8499</c:v>
                </c:pt>
                <c:pt idx="82">
                  <c:v>12629</c:v>
                </c:pt>
                <c:pt idx="83">
                  <c:v>14869</c:v>
                </c:pt>
                <c:pt idx="84">
                  <c:v>14489</c:v>
                </c:pt>
                <c:pt idx="85">
                  <c:v>6989</c:v>
                </c:pt>
                <c:pt idx="86">
                  <c:v>8189</c:v>
                </c:pt>
                <c:pt idx="87">
                  <c:v>9279</c:v>
                </c:pt>
                <c:pt idx="88">
                  <c:v>9279</c:v>
                </c:pt>
                <c:pt idx="89">
                  <c:v>5499</c:v>
                </c:pt>
                <c:pt idx="90">
                  <c:v>7099</c:v>
                </c:pt>
                <c:pt idx="91">
                  <c:v>6649</c:v>
                </c:pt>
                <c:pt idx="92">
                  <c:v>6849</c:v>
                </c:pt>
                <c:pt idx="93">
                  <c:v>7349</c:v>
                </c:pt>
                <c:pt idx="94">
                  <c:v>7299</c:v>
                </c:pt>
                <c:pt idx="95">
                  <c:v>7799</c:v>
                </c:pt>
                <c:pt idx="96">
                  <c:v>7499</c:v>
                </c:pt>
                <c:pt idx="97">
                  <c:v>7999</c:v>
                </c:pt>
                <c:pt idx="98">
                  <c:v>8249</c:v>
                </c:pt>
                <c:pt idx="99">
                  <c:v>8949</c:v>
                </c:pt>
                <c:pt idx="100">
                  <c:v>9549</c:v>
                </c:pt>
                <c:pt idx="101">
                  <c:v>13499</c:v>
                </c:pt>
                <c:pt idx="102">
                  <c:v>14399</c:v>
                </c:pt>
                <c:pt idx="103">
                  <c:v>13499</c:v>
                </c:pt>
                <c:pt idx="104">
                  <c:v>17199</c:v>
                </c:pt>
                <c:pt idx="105">
                  <c:v>19699</c:v>
                </c:pt>
                <c:pt idx="106">
                  <c:v>18399</c:v>
                </c:pt>
                <c:pt idx="107">
                  <c:v>11900</c:v>
                </c:pt>
                <c:pt idx="108">
                  <c:v>13200</c:v>
                </c:pt>
                <c:pt idx="109">
                  <c:v>12440</c:v>
                </c:pt>
                <c:pt idx="110">
                  <c:v>13860</c:v>
                </c:pt>
                <c:pt idx="111">
                  <c:v>15580</c:v>
                </c:pt>
                <c:pt idx="112">
                  <c:v>16900</c:v>
                </c:pt>
                <c:pt idx="113">
                  <c:v>16695</c:v>
                </c:pt>
                <c:pt idx="114">
                  <c:v>17075</c:v>
                </c:pt>
                <c:pt idx="115">
                  <c:v>16630</c:v>
                </c:pt>
                <c:pt idx="116">
                  <c:v>17950</c:v>
                </c:pt>
                <c:pt idx="117">
                  <c:v>18150</c:v>
                </c:pt>
                <c:pt idx="118">
                  <c:v>5572</c:v>
                </c:pt>
                <c:pt idx="119">
                  <c:v>7957</c:v>
                </c:pt>
                <c:pt idx="120">
                  <c:v>6229</c:v>
                </c:pt>
                <c:pt idx="121">
                  <c:v>6692</c:v>
                </c:pt>
                <c:pt idx="122">
                  <c:v>7609</c:v>
                </c:pt>
                <c:pt idx="123">
                  <c:v>8921</c:v>
                </c:pt>
                <c:pt idx="124">
                  <c:v>12764</c:v>
                </c:pt>
                <c:pt idx="125">
                  <c:v>22018</c:v>
                </c:pt>
                <c:pt idx="126">
                  <c:v>32528</c:v>
                </c:pt>
                <c:pt idx="127">
                  <c:v>34028</c:v>
                </c:pt>
                <c:pt idx="128">
                  <c:v>37028</c:v>
                </c:pt>
                <c:pt idx="129">
                  <c:v>31400.5</c:v>
                </c:pt>
                <c:pt idx="130">
                  <c:v>9295</c:v>
                </c:pt>
                <c:pt idx="131">
                  <c:v>9895</c:v>
                </c:pt>
                <c:pt idx="132">
                  <c:v>11850</c:v>
                </c:pt>
                <c:pt idx="133">
                  <c:v>12170</c:v>
                </c:pt>
                <c:pt idx="134">
                  <c:v>15040</c:v>
                </c:pt>
                <c:pt idx="135">
                  <c:v>15510</c:v>
                </c:pt>
                <c:pt idx="136">
                  <c:v>18150</c:v>
                </c:pt>
                <c:pt idx="137">
                  <c:v>18620</c:v>
                </c:pt>
                <c:pt idx="138">
                  <c:v>5118</c:v>
                </c:pt>
                <c:pt idx="139">
                  <c:v>7053</c:v>
                </c:pt>
                <c:pt idx="140">
                  <c:v>7603</c:v>
                </c:pt>
                <c:pt idx="141">
                  <c:v>7126</c:v>
                </c:pt>
                <c:pt idx="142">
                  <c:v>7775</c:v>
                </c:pt>
                <c:pt idx="143">
                  <c:v>9960</c:v>
                </c:pt>
                <c:pt idx="144">
                  <c:v>9233</c:v>
                </c:pt>
                <c:pt idx="145">
                  <c:v>11259</c:v>
                </c:pt>
                <c:pt idx="146">
                  <c:v>7463</c:v>
                </c:pt>
                <c:pt idx="147">
                  <c:v>10198</c:v>
                </c:pt>
                <c:pt idx="148">
                  <c:v>8013</c:v>
                </c:pt>
                <c:pt idx="149">
                  <c:v>11694</c:v>
                </c:pt>
                <c:pt idx="150">
                  <c:v>5348</c:v>
                </c:pt>
                <c:pt idx="151">
                  <c:v>6338</c:v>
                </c:pt>
                <c:pt idx="152">
                  <c:v>6488</c:v>
                </c:pt>
                <c:pt idx="153">
                  <c:v>6918</c:v>
                </c:pt>
                <c:pt idx="154">
                  <c:v>7898</c:v>
                </c:pt>
                <c:pt idx="155">
                  <c:v>8778</c:v>
                </c:pt>
                <c:pt idx="156">
                  <c:v>6938</c:v>
                </c:pt>
                <c:pt idx="157">
                  <c:v>7198</c:v>
                </c:pt>
                <c:pt idx="158">
                  <c:v>7898</c:v>
                </c:pt>
                <c:pt idx="159">
                  <c:v>7788</c:v>
                </c:pt>
                <c:pt idx="160">
                  <c:v>7738</c:v>
                </c:pt>
                <c:pt idx="161">
                  <c:v>8358</c:v>
                </c:pt>
                <c:pt idx="162">
                  <c:v>9258</c:v>
                </c:pt>
                <c:pt idx="163">
                  <c:v>8058</c:v>
                </c:pt>
                <c:pt idx="164">
                  <c:v>8238</c:v>
                </c:pt>
                <c:pt idx="165">
                  <c:v>9298</c:v>
                </c:pt>
                <c:pt idx="166">
                  <c:v>9538</c:v>
                </c:pt>
                <c:pt idx="167">
                  <c:v>8449</c:v>
                </c:pt>
                <c:pt idx="168">
                  <c:v>9639</c:v>
                </c:pt>
                <c:pt idx="169">
                  <c:v>9989</c:v>
                </c:pt>
                <c:pt idx="170">
                  <c:v>11199</c:v>
                </c:pt>
                <c:pt idx="171">
                  <c:v>11549</c:v>
                </c:pt>
                <c:pt idx="172">
                  <c:v>17669</c:v>
                </c:pt>
                <c:pt idx="173">
                  <c:v>8948</c:v>
                </c:pt>
                <c:pt idx="174">
                  <c:v>10698</c:v>
                </c:pt>
                <c:pt idx="175">
                  <c:v>9988</c:v>
                </c:pt>
                <c:pt idx="176">
                  <c:v>10898</c:v>
                </c:pt>
                <c:pt idx="177">
                  <c:v>11248</c:v>
                </c:pt>
                <c:pt idx="178">
                  <c:v>16558</c:v>
                </c:pt>
                <c:pt idx="179">
                  <c:v>15998</c:v>
                </c:pt>
                <c:pt idx="180">
                  <c:v>15690</c:v>
                </c:pt>
                <c:pt idx="181">
                  <c:v>15750</c:v>
                </c:pt>
                <c:pt idx="182">
                  <c:v>7775</c:v>
                </c:pt>
                <c:pt idx="183">
                  <c:v>7975</c:v>
                </c:pt>
                <c:pt idx="184">
                  <c:v>7995</c:v>
                </c:pt>
                <c:pt idx="185">
                  <c:v>8195</c:v>
                </c:pt>
                <c:pt idx="186">
                  <c:v>8495</c:v>
                </c:pt>
                <c:pt idx="187">
                  <c:v>9495</c:v>
                </c:pt>
                <c:pt idx="188">
                  <c:v>9995</c:v>
                </c:pt>
                <c:pt idx="189">
                  <c:v>11595</c:v>
                </c:pt>
                <c:pt idx="190">
                  <c:v>9980</c:v>
                </c:pt>
                <c:pt idx="191">
                  <c:v>13295</c:v>
                </c:pt>
                <c:pt idx="192">
                  <c:v>13845</c:v>
                </c:pt>
                <c:pt idx="193">
                  <c:v>12290</c:v>
                </c:pt>
                <c:pt idx="194">
                  <c:v>12940</c:v>
                </c:pt>
                <c:pt idx="195">
                  <c:v>13415</c:v>
                </c:pt>
                <c:pt idx="196">
                  <c:v>15985</c:v>
                </c:pt>
                <c:pt idx="197">
                  <c:v>16515</c:v>
                </c:pt>
                <c:pt idx="198">
                  <c:v>18420</c:v>
                </c:pt>
                <c:pt idx="199">
                  <c:v>18950</c:v>
                </c:pt>
                <c:pt idx="200">
                  <c:v>16845</c:v>
                </c:pt>
                <c:pt idx="201">
                  <c:v>19045</c:v>
                </c:pt>
                <c:pt idx="202">
                  <c:v>21485</c:v>
                </c:pt>
                <c:pt idx="203">
                  <c:v>22470</c:v>
                </c:pt>
                <c:pt idx="204">
                  <c:v>22625</c:v>
                </c:pt>
              </c:numCache>
            </c:numRef>
          </c:yVal>
          <c:smooth val="0"/>
          <c:extLst>
            <c:ext xmlns:c16="http://schemas.microsoft.com/office/drawing/2014/chart" uri="{C3380CC4-5D6E-409C-BE32-E72D297353CC}">
              <c16:uniqueId val="{00000000-5EAC-FA46-87E9-BE0113BCEAB9}"/>
            </c:ext>
          </c:extLst>
        </c:ser>
        <c:dLbls>
          <c:showLegendKey val="0"/>
          <c:showVal val="0"/>
          <c:showCatName val="0"/>
          <c:showSerName val="0"/>
          <c:showPercent val="0"/>
          <c:showBubbleSize val="0"/>
        </c:dLbls>
        <c:axId val="858908016"/>
        <c:axId val="858912496"/>
      </c:scatterChart>
      <c:valAx>
        <c:axId val="858908016"/>
        <c:scaling>
          <c:orientation val="minMax"/>
        </c:scaling>
        <c:delete val="0"/>
        <c:axPos val="b"/>
        <c:majorGridlines>
          <c:spPr>
            <a:ln w="9525" cap="flat" cmpd="sng" algn="ctr">
              <a:solidFill>
                <a:schemeClr val="dk1">
                  <a:lumMod val="65000"/>
                  <a:lumOff val="35000"/>
                  <a:alpha val="7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STROKE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8912496"/>
        <c:crosses val="autoZero"/>
        <c:crossBetween val="midCat"/>
      </c:valAx>
      <c:valAx>
        <c:axId val="858912496"/>
        <c:scaling>
          <c:orientation val="minMax"/>
        </c:scaling>
        <c:delete val="0"/>
        <c:axPos val="l"/>
        <c:majorGridlines>
          <c:spPr>
            <a:ln w="9525" cap="flat" cmpd="sng" algn="ctr">
              <a:solidFill>
                <a:schemeClr val="dk1">
                  <a:lumMod val="65000"/>
                  <a:lumOff val="35000"/>
                  <a:alpha val="7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r>
                  <a:rPr lang="en-GB"/>
                  <a:t>CAR-PRICE(USD)</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858908016"/>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Forecasting!$B$1</c:f>
              <c:strCache>
                <c:ptCount val="1"/>
                <c:pt idx="0">
                  <c:v>Stock Volume: Number of shares traded on that day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Forecasting!$A$2:$A$59</c:f>
              <c:numCache>
                <c:formatCode>mmm\-yy</c:formatCode>
                <c:ptCount val="58"/>
                <c:pt idx="0">
                  <c:v>40359</c:v>
                </c:pt>
                <c:pt idx="1">
                  <c:v>40451</c:v>
                </c:pt>
                <c:pt idx="2">
                  <c:v>40542</c:v>
                </c:pt>
                <c:pt idx="3">
                  <c:v>40633</c:v>
                </c:pt>
                <c:pt idx="4">
                  <c:v>40724</c:v>
                </c:pt>
                <c:pt idx="5">
                  <c:v>40816</c:v>
                </c:pt>
                <c:pt idx="6">
                  <c:v>40907</c:v>
                </c:pt>
                <c:pt idx="7">
                  <c:v>40998</c:v>
                </c:pt>
                <c:pt idx="8">
                  <c:v>41089</c:v>
                </c:pt>
                <c:pt idx="9">
                  <c:v>41180</c:v>
                </c:pt>
                <c:pt idx="10">
                  <c:v>41274</c:v>
                </c:pt>
                <c:pt idx="11">
                  <c:v>41361</c:v>
                </c:pt>
                <c:pt idx="12">
                  <c:v>41453</c:v>
                </c:pt>
                <c:pt idx="13">
                  <c:v>41547</c:v>
                </c:pt>
                <c:pt idx="14">
                  <c:v>41638</c:v>
                </c:pt>
                <c:pt idx="15">
                  <c:v>41729</c:v>
                </c:pt>
                <c:pt idx="16">
                  <c:v>41820</c:v>
                </c:pt>
                <c:pt idx="17">
                  <c:v>41912</c:v>
                </c:pt>
                <c:pt idx="18">
                  <c:v>42003</c:v>
                </c:pt>
                <c:pt idx="19">
                  <c:v>42094</c:v>
                </c:pt>
                <c:pt idx="20">
                  <c:v>42185</c:v>
                </c:pt>
                <c:pt idx="21">
                  <c:v>42277</c:v>
                </c:pt>
                <c:pt idx="22">
                  <c:v>42368</c:v>
                </c:pt>
                <c:pt idx="23">
                  <c:v>42460</c:v>
                </c:pt>
                <c:pt idx="24">
                  <c:v>42551</c:v>
                </c:pt>
                <c:pt idx="25">
                  <c:v>42643</c:v>
                </c:pt>
                <c:pt idx="26">
                  <c:v>42734</c:v>
                </c:pt>
                <c:pt idx="27">
                  <c:v>42825</c:v>
                </c:pt>
                <c:pt idx="28">
                  <c:v>42916</c:v>
                </c:pt>
                <c:pt idx="29">
                  <c:v>43007</c:v>
                </c:pt>
                <c:pt idx="30">
                  <c:v>43098</c:v>
                </c:pt>
                <c:pt idx="31">
                  <c:v>43188</c:v>
                </c:pt>
                <c:pt idx="32">
                  <c:v>43280</c:v>
                </c:pt>
                <c:pt idx="33">
                  <c:v>43371</c:v>
                </c:pt>
                <c:pt idx="34">
                  <c:v>43465</c:v>
                </c:pt>
                <c:pt idx="35">
                  <c:v>43553</c:v>
                </c:pt>
                <c:pt idx="36">
                  <c:v>43644</c:v>
                </c:pt>
                <c:pt idx="37">
                  <c:v>43738</c:v>
                </c:pt>
                <c:pt idx="38">
                  <c:v>43829</c:v>
                </c:pt>
                <c:pt idx="39">
                  <c:v>43921</c:v>
                </c:pt>
                <c:pt idx="40">
                  <c:v>44012</c:v>
                </c:pt>
                <c:pt idx="41">
                  <c:v>44104</c:v>
                </c:pt>
                <c:pt idx="42">
                  <c:v>44195</c:v>
                </c:pt>
                <c:pt idx="43">
                  <c:v>44286</c:v>
                </c:pt>
                <c:pt idx="44">
                  <c:v>44377</c:v>
                </c:pt>
                <c:pt idx="45">
                  <c:v>44469</c:v>
                </c:pt>
                <c:pt idx="46">
                  <c:v>44560</c:v>
                </c:pt>
                <c:pt idx="47">
                  <c:v>44651</c:v>
                </c:pt>
                <c:pt idx="48">
                  <c:v>44742</c:v>
                </c:pt>
                <c:pt idx="49">
                  <c:v>44834</c:v>
                </c:pt>
                <c:pt idx="50">
                  <c:v>44925</c:v>
                </c:pt>
                <c:pt idx="51">
                  <c:v>45016</c:v>
                </c:pt>
                <c:pt idx="52">
                  <c:v>45107</c:v>
                </c:pt>
                <c:pt idx="53">
                  <c:v>45198</c:v>
                </c:pt>
                <c:pt idx="54">
                  <c:v>45289</c:v>
                </c:pt>
                <c:pt idx="55">
                  <c:v>45379</c:v>
                </c:pt>
                <c:pt idx="56">
                  <c:v>45471</c:v>
                </c:pt>
                <c:pt idx="57">
                  <c:v>45565</c:v>
                </c:pt>
              </c:numCache>
            </c:numRef>
          </c:xVal>
          <c:yVal>
            <c:numRef>
              <c:f>Forecasting!$B$2:$B$59</c:f>
              <c:numCache>
                <c:formatCode>General</c:formatCode>
                <c:ptCount val="58"/>
                <c:pt idx="0">
                  <c:v>257806500</c:v>
                </c:pt>
                <c:pt idx="1">
                  <c:v>32937000</c:v>
                </c:pt>
                <c:pt idx="2">
                  <c:v>30616500</c:v>
                </c:pt>
                <c:pt idx="3">
                  <c:v>172767000</c:v>
                </c:pt>
                <c:pt idx="4">
                  <c:v>14200500</c:v>
                </c:pt>
                <c:pt idx="5">
                  <c:v>20041500</c:v>
                </c:pt>
                <c:pt idx="6">
                  <c:v>5097000</c:v>
                </c:pt>
                <c:pt idx="7">
                  <c:v>13296000</c:v>
                </c:pt>
                <c:pt idx="8">
                  <c:v>16887000</c:v>
                </c:pt>
                <c:pt idx="9">
                  <c:v>65151000</c:v>
                </c:pt>
                <c:pt idx="10">
                  <c:v>8923500</c:v>
                </c:pt>
                <c:pt idx="11">
                  <c:v>17380500</c:v>
                </c:pt>
                <c:pt idx="12">
                  <c:v>86229000</c:v>
                </c:pt>
                <c:pt idx="13">
                  <c:v>133870500</c:v>
                </c:pt>
                <c:pt idx="14">
                  <c:v>67012500</c:v>
                </c:pt>
                <c:pt idx="15">
                  <c:v>125700000</c:v>
                </c:pt>
                <c:pt idx="16">
                  <c:v>72429000</c:v>
                </c:pt>
                <c:pt idx="17">
                  <c:v>63574500</c:v>
                </c:pt>
                <c:pt idx="18">
                  <c:v>43548000</c:v>
                </c:pt>
                <c:pt idx="19">
                  <c:v>75399000</c:v>
                </c:pt>
                <c:pt idx="20">
                  <c:v>46303500</c:v>
                </c:pt>
                <c:pt idx="21">
                  <c:v>73944000</c:v>
                </c:pt>
                <c:pt idx="22">
                  <c:v>55468500</c:v>
                </c:pt>
                <c:pt idx="23">
                  <c:v>120193500</c:v>
                </c:pt>
                <c:pt idx="24">
                  <c:v>72646500</c:v>
                </c:pt>
                <c:pt idx="25">
                  <c:v>38794500</c:v>
                </c:pt>
                <c:pt idx="26">
                  <c:v>69639000</c:v>
                </c:pt>
                <c:pt idx="27">
                  <c:v>49419000</c:v>
                </c:pt>
                <c:pt idx="28">
                  <c:v>87727500</c:v>
                </c:pt>
                <c:pt idx="29">
                  <c:v>76606500</c:v>
                </c:pt>
                <c:pt idx="30">
                  <c:v>56658000</c:v>
                </c:pt>
                <c:pt idx="31">
                  <c:v>227560500</c:v>
                </c:pt>
                <c:pt idx="32">
                  <c:v>97386000</c:v>
                </c:pt>
                <c:pt idx="33">
                  <c:v>504745500</c:v>
                </c:pt>
                <c:pt idx="34">
                  <c:v>94534500</c:v>
                </c:pt>
                <c:pt idx="35">
                  <c:v>89869500</c:v>
                </c:pt>
                <c:pt idx="36">
                  <c:v>102771000</c:v>
                </c:pt>
                <c:pt idx="37">
                  <c:v>88197000</c:v>
                </c:pt>
                <c:pt idx="38">
                  <c:v>188796000</c:v>
                </c:pt>
                <c:pt idx="39">
                  <c:v>266572500</c:v>
                </c:pt>
                <c:pt idx="40">
                  <c:v>253777500</c:v>
                </c:pt>
                <c:pt idx="41">
                  <c:v>144436800</c:v>
                </c:pt>
                <c:pt idx="42">
                  <c:v>128538000</c:v>
                </c:pt>
                <c:pt idx="43">
                  <c:v>100011900</c:v>
                </c:pt>
                <c:pt idx="44">
                  <c:v>56774700</c:v>
                </c:pt>
                <c:pt idx="45">
                  <c:v>53868000</c:v>
                </c:pt>
                <c:pt idx="46">
                  <c:v>47040900</c:v>
                </c:pt>
                <c:pt idx="47">
                  <c:v>48992700</c:v>
                </c:pt>
                <c:pt idx="48">
                  <c:v>94600500</c:v>
                </c:pt>
                <c:pt idx="49">
                  <c:v>67726600</c:v>
                </c:pt>
                <c:pt idx="50">
                  <c:v>157777300</c:v>
                </c:pt>
                <c:pt idx="51">
                  <c:v>170222100</c:v>
                </c:pt>
                <c:pt idx="52">
                  <c:v>112267600</c:v>
                </c:pt>
                <c:pt idx="53">
                  <c:v>128346200</c:v>
                </c:pt>
                <c:pt idx="54">
                  <c:v>100615300</c:v>
                </c:pt>
                <c:pt idx="55">
                  <c:v>77654800</c:v>
                </c:pt>
                <c:pt idx="56">
                  <c:v>95438100</c:v>
                </c:pt>
                <c:pt idx="57">
                  <c:v>80705700</c:v>
                </c:pt>
              </c:numCache>
            </c:numRef>
          </c:yVal>
          <c:smooth val="1"/>
          <c:extLst>
            <c:ext xmlns:c16="http://schemas.microsoft.com/office/drawing/2014/chart" uri="{C3380CC4-5D6E-409C-BE32-E72D297353CC}">
              <c16:uniqueId val="{00000000-8009-1A44-ABE6-854A2542A2E4}"/>
            </c:ext>
          </c:extLst>
        </c:ser>
        <c:dLbls>
          <c:showLegendKey val="0"/>
          <c:showVal val="0"/>
          <c:showCatName val="0"/>
          <c:showSerName val="0"/>
          <c:showPercent val="0"/>
          <c:showBubbleSize val="0"/>
        </c:dLbls>
        <c:axId val="1084686592"/>
        <c:axId val="1084855248"/>
      </c:scatterChart>
      <c:valAx>
        <c:axId val="1084686592"/>
        <c:scaling>
          <c:orientation val="minMax"/>
        </c:scaling>
        <c:delete val="0"/>
        <c:axPos val="b"/>
        <c:majorGridlines>
          <c:spPr>
            <a:ln w="9525" cap="flat" cmpd="sng" algn="ctr">
              <a:solidFill>
                <a:schemeClr val="tx1">
                  <a:lumMod val="15000"/>
                  <a:lumOff val="85000"/>
                </a:schemeClr>
              </a:solidFill>
              <a:round/>
            </a:ln>
            <a:effectLst/>
          </c:spPr>
        </c:majorGridlines>
        <c:numFmt formatCode="mmm\-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855248"/>
        <c:crosses val="autoZero"/>
        <c:crossBetween val="midCat"/>
      </c:valAx>
      <c:valAx>
        <c:axId val="1084855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686592"/>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Stock Volume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scatterChart>
        <c:scatterStyle val="lineMarker"/>
        <c:varyColors val="0"/>
        <c:ser>
          <c:idx val="0"/>
          <c:order val="0"/>
          <c:spPr>
            <a:ln w="95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cap="rnd">
                <a:solidFill>
                  <a:schemeClr val="accent1"/>
                </a:solidFill>
                <a:round/>
              </a:ln>
              <a:effectLst>
                <a:outerShdw blurRad="57150" dist="19050" dir="5400000" algn="ctr" rotWithShape="0">
                  <a:srgbClr val="000000">
                    <a:alpha val="63000"/>
                  </a:srgbClr>
                </a:outerShdw>
              </a:effectLst>
            </c:spPr>
          </c:marker>
          <c:trendline>
            <c:spPr>
              <a:ln w="19050" cap="rnd">
                <a:solidFill>
                  <a:schemeClr val="tx2"/>
                </a:solidFill>
                <a:prstDash val="sysDash"/>
              </a:ln>
              <a:effectLst>
                <a:outerShdw blurRad="50800" dist="50800" dir="5400000" algn="ctr" rotWithShape="0">
                  <a:schemeClr val="accent1"/>
                </a:outerShdw>
              </a:effectLst>
            </c:spPr>
            <c:trendlineType val="linear"/>
            <c:dispRSqr val="0"/>
            <c:dispEq val="0"/>
          </c:trendline>
          <c:xVal>
            <c:numRef>
              <c:f>'Time-Series Data'!$A$2:$A$59</c:f>
              <c:numCache>
                <c:formatCode>mmm\-yy</c:formatCode>
                <c:ptCount val="58"/>
                <c:pt idx="0">
                  <c:v>40359</c:v>
                </c:pt>
                <c:pt idx="1">
                  <c:v>40451</c:v>
                </c:pt>
                <c:pt idx="2">
                  <c:v>40542</c:v>
                </c:pt>
                <c:pt idx="3">
                  <c:v>40633</c:v>
                </c:pt>
                <c:pt idx="4">
                  <c:v>40724</c:v>
                </c:pt>
                <c:pt idx="5">
                  <c:v>40816</c:v>
                </c:pt>
                <c:pt idx="6">
                  <c:v>40907</c:v>
                </c:pt>
                <c:pt idx="7">
                  <c:v>40998</c:v>
                </c:pt>
                <c:pt idx="8">
                  <c:v>41089</c:v>
                </c:pt>
                <c:pt idx="9">
                  <c:v>41180</c:v>
                </c:pt>
                <c:pt idx="10">
                  <c:v>41274</c:v>
                </c:pt>
                <c:pt idx="11">
                  <c:v>41361</c:v>
                </c:pt>
                <c:pt idx="12">
                  <c:v>41453</c:v>
                </c:pt>
                <c:pt idx="13">
                  <c:v>41547</c:v>
                </c:pt>
                <c:pt idx="14">
                  <c:v>41638</c:v>
                </c:pt>
                <c:pt idx="15">
                  <c:v>41729</c:v>
                </c:pt>
                <c:pt idx="16">
                  <c:v>41820</c:v>
                </c:pt>
                <c:pt idx="17">
                  <c:v>41912</c:v>
                </c:pt>
                <c:pt idx="18">
                  <c:v>42003</c:v>
                </c:pt>
                <c:pt idx="19">
                  <c:v>42094</c:v>
                </c:pt>
                <c:pt idx="20">
                  <c:v>42185</c:v>
                </c:pt>
                <c:pt idx="21">
                  <c:v>42277</c:v>
                </c:pt>
                <c:pt idx="22">
                  <c:v>42368</c:v>
                </c:pt>
                <c:pt idx="23">
                  <c:v>42460</c:v>
                </c:pt>
                <c:pt idx="24">
                  <c:v>42551</c:v>
                </c:pt>
                <c:pt idx="25">
                  <c:v>42643</c:v>
                </c:pt>
                <c:pt idx="26">
                  <c:v>42734</c:v>
                </c:pt>
                <c:pt idx="27">
                  <c:v>42825</c:v>
                </c:pt>
                <c:pt idx="28">
                  <c:v>42916</c:v>
                </c:pt>
                <c:pt idx="29">
                  <c:v>43007</c:v>
                </c:pt>
                <c:pt idx="30">
                  <c:v>43098</c:v>
                </c:pt>
                <c:pt idx="31">
                  <c:v>43188</c:v>
                </c:pt>
                <c:pt idx="32">
                  <c:v>43280</c:v>
                </c:pt>
                <c:pt idx="33">
                  <c:v>43371</c:v>
                </c:pt>
                <c:pt idx="34">
                  <c:v>43465</c:v>
                </c:pt>
                <c:pt idx="35">
                  <c:v>43553</c:v>
                </c:pt>
                <c:pt idx="36">
                  <c:v>43644</c:v>
                </c:pt>
                <c:pt idx="37">
                  <c:v>43738</c:v>
                </c:pt>
                <c:pt idx="38">
                  <c:v>43829</c:v>
                </c:pt>
                <c:pt idx="39">
                  <c:v>43921</c:v>
                </c:pt>
                <c:pt idx="40">
                  <c:v>44012</c:v>
                </c:pt>
                <c:pt idx="41">
                  <c:v>44104</c:v>
                </c:pt>
                <c:pt idx="42">
                  <c:v>44195</c:v>
                </c:pt>
                <c:pt idx="43">
                  <c:v>44286</c:v>
                </c:pt>
                <c:pt idx="44">
                  <c:v>44377</c:v>
                </c:pt>
                <c:pt idx="45">
                  <c:v>44469</c:v>
                </c:pt>
                <c:pt idx="46">
                  <c:v>44560</c:v>
                </c:pt>
                <c:pt idx="47">
                  <c:v>44651</c:v>
                </c:pt>
                <c:pt idx="48">
                  <c:v>44742</c:v>
                </c:pt>
                <c:pt idx="49">
                  <c:v>44834</c:v>
                </c:pt>
                <c:pt idx="50">
                  <c:v>44925</c:v>
                </c:pt>
                <c:pt idx="51">
                  <c:v>45016</c:v>
                </c:pt>
                <c:pt idx="52">
                  <c:v>45107</c:v>
                </c:pt>
                <c:pt idx="53">
                  <c:v>45198</c:v>
                </c:pt>
                <c:pt idx="54">
                  <c:v>45289</c:v>
                </c:pt>
                <c:pt idx="55">
                  <c:v>45379</c:v>
                </c:pt>
                <c:pt idx="56">
                  <c:v>45471</c:v>
                </c:pt>
                <c:pt idx="57">
                  <c:v>45565</c:v>
                </c:pt>
              </c:numCache>
            </c:numRef>
          </c:xVal>
          <c:yVal>
            <c:numRef>
              <c:f>'Time-Series Data'!$B$2:$B$59</c:f>
              <c:numCache>
                <c:formatCode>General</c:formatCode>
                <c:ptCount val="58"/>
                <c:pt idx="0">
                  <c:v>257806500</c:v>
                </c:pt>
                <c:pt idx="1">
                  <c:v>32937000</c:v>
                </c:pt>
                <c:pt idx="2">
                  <c:v>30616500</c:v>
                </c:pt>
                <c:pt idx="3">
                  <c:v>172767000</c:v>
                </c:pt>
                <c:pt idx="4">
                  <c:v>14200500</c:v>
                </c:pt>
                <c:pt idx="5">
                  <c:v>20041500</c:v>
                </c:pt>
                <c:pt idx="6">
                  <c:v>5097000</c:v>
                </c:pt>
                <c:pt idx="7">
                  <c:v>13296000</c:v>
                </c:pt>
                <c:pt idx="8">
                  <c:v>16887000</c:v>
                </c:pt>
                <c:pt idx="9">
                  <c:v>65151000</c:v>
                </c:pt>
                <c:pt idx="10">
                  <c:v>8923500</c:v>
                </c:pt>
                <c:pt idx="11">
                  <c:v>17380500</c:v>
                </c:pt>
                <c:pt idx="12">
                  <c:v>86229000</c:v>
                </c:pt>
                <c:pt idx="13">
                  <c:v>133870500</c:v>
                </c:pt>
                <c:pt idx="14">
                  <c:v>67012500</c:v>
                </c:pt>
                <c:pt idx="15">
                  <c:v>125700000</c:v>
                </c:pt>
                <c:pt idx="16">
                  <c:v>72429000</c:v>
                </c:pt>
                <c:pt idx="17">
                  <c:v>63574500</c:v>
                </c:pt>
                <c:pt idx="18">
                  <c:v>43548000</c:v>
                </c:pt>
                <c:pt idx="19">
                  <c:v>75399000</c:v>
                </c:pt>
                <c:pt idx="20">
                  <c:v>46303500</c:v>
                </c:pt>
                <c:pt idx="21">
                  <c:v>73944000</c:v>
                </c:pt>
                <c:pt idx="22">
                  <c:v>55468500</c:v>
                </c:pt>
                <c:pt idx="23">
                  <c:v>120193500</c:v>
                </c:pt>
                <c:pt idx="24">
                  <c:v>72646500</c:v>
                </c:pt>
                <c:pt idx="25">
                  <c:v>38794500</c:v>
                </c:pt>
                <c:pt idx="26">
                  <c:v>69639000</c:v>
                </c:pt>
                <c:pt idx="27">
                  <c:v>49419000</c:v>
                </c:pt>
                <c:pt idx="28">
                  <c:v>87727500</c:v>
                </c:pt>
                <c:pt idx="29">
                  <c:v>76606500</c:v>
                </c:pt>
                <c:pt idx="30">
                  <c:v>56658000</c:v>
                </c:pt>
                <c:pt idx="31">
                  <c:v>227560500</c:v>
                </c:pt>
                <c:pt idx="32">
                  <c:v>97386000</c:v>
                </c:pt>
                <c:pt idx="33">
                  <c:v>504745500</c:v>
                </c:pt>
                <c:pt idx="34">
                  <c:v>94534500</c:v>
                </c:pt>
                <c:pt idx="35">
                  <c:v>89869500</c:v>
                </c:pt>
                <c:pt idx="36">
                  <c:v>102771000</c:v>
                </c:pt>
                <c:pt idx="37">
                  <c:v>88197000</c:v>
                </c:pt>
                <c:pt idx="38">
                  <c:v>188796000</c:v>
                </c:pt>
                <c:pt idx="39">
                  <c:v>266572500</c:v>
                </c:pt>
                <c:pt idx="40">
                  <c:v>253777500</c:v>
                </c:pt>
                <c:pt idx="41">
                  <c:v>144436800</c:v>
                </c:pt>
                <c:pt idx="42">
                  <c:v>128538000</c:v>
                </c:pt>
                <c:pt idx="43">
                  <c:v>100011900</c:v>
                </c:pt>
                <c:pt idx="44">
                  <c:v>56774700</c:v>
                </c:pt>
                <c:pt idx="45">
                  <c:v>53868000</c:v>
                </c:pt>
                <c:pt idx="46">
                  <c:v>47040900</c:v>
                </c:pt>
                <c:pt idx="47">
                  <c:v>48992700</c:v>
                </c:pt>
                <c:pt idx="48">
                  <c:v>94600500</c:v>
                </c:pt>
                <c:pt idx="49">
                  <c:v>67726600</c:v>
                </c:pt>
                <c:pt idx="50">
                  <c:v>157777300</c:v>
                </c:pt>
                <c:pt idx="51">
                  <c:v>170222100</c:v>
                </c:pt>
                <c:pt idx="52">
                  <c:v>112267600</c:v>
                </c:pt>
                <c:pt idx="53">
                  <c:v>128346200</c:v>
                </c:pt>
                <c:pt idx="54">
                  <c:v>100615300</c:v>
                </c:pt>
                <c:pt idx="55">
                  <c:v>77654800</c:v>
                </c:pt>
                <c:pt idx="56">
                  <c:v>95438100</c:v>
                </c:pt>
                <c:pt idx="57">
                  <c:v>80705700</c:v>
                </c:pt>
              </c:numCache>
            </c:numRef>
          </c:yVal>
          <c:smooth val="0"/>
          <c:extLst>
            <c:ext xmlns:c15="http://schemas.microsoft.com/office/drawing/2012/chart" uri="{02D57815-91ED-43cb-92C2-25804820EDAC}">
              <c15:filteredSeriesTitle>
                <c15:tx>
                  <c:strRef>
                    <c:extLst>
                      <c:ext uri="{02D57815-91ED-43cb-92C2-25804820EDAC}">
                        <c15:formulaRef>
                          <c15:sqref> </c15:sqref>
                        </c15:formulaRef>
                      </c:ext>
                    </c:extLst>
                  </c:strRef>
                </c15:tx>
              </c15:filteredSeriesTitle>
            </c:ext>
            <c:ext xmlns:c16="http://schemas.microsoft.com/office/drawing/2014/chart" uri="{C3380CC4-5D6E-409C-BE32-E72D297353CC}">
              <c16:uniqueId val="{00000000-56ED-3C49-BBE6-EAF3DD1C22D8}"/>
            </c:ext>
          </c:extLst>
        </c:ser>
        <c:dLbls>
          <c:showLegendKey val="0"/>
          <c:showVal val="0"/>
          <c:showCatName val="0"/>
          <c:showSerName val="0"/>
          <c:showPercent val="0"/>
          <c:showBubbleSize val="0"/>
        </c:dLbls>
        <c:axId val="1518885024"/>
        <c:axId val="1518934512"/>
      </c:scatterChart>
      <c:valAx>
        <c:axId val="1518885024"/>
        <c:scaling>
          <c:orientation val="minMax"/>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sz="1200" b="1" i="0" u="none" strike="noStrike" cap="all" baseline="0"/>
                  <a:t>Number of Shares </a:t>
                </a:r>
                <a:endParaRPr lang="en-GB" sz="1200"/>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mmm\-yy"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8934512"/>
        <c:crosses val="autoZero"/>
        <c:crossBetween val="midCat"/>
      </c:valAx>
      <c:valAx>
        <c:axId val="151893451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r>
                  <a:rPr lang="en-IN" sz="1200" b="1" i="0" u="none" strike="noStrike" cap="all" baseline="0"/>
                  <a:t>Date (Month-Year)</a:t>
                </a:r>
                <a:endParaRPr lang="en-GB" sz="1200"/>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50000"/>
              </a:schemeClr>
            </a:solid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18885024"/>
        <c:crosses val="autoZero"/>
        <c:crossBetween val="midCat"/>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8">
  <cs:axisTitle>
    <cs:lnRef idx="0"/>
    <cs:fillRef idx="0"/>
    <cs:effectRef idx="0"/>
    <cs:fontRef idx="minor">
      <a:schemeClr val="lt1">
        <a:lumMod val="75000"/>
      </a:schemeClr>
    </cs:fontRef>
    <cs:defRPr sz="900" b="1" kern="1200" cap="all"/>
  </cs:axisTitle>
  <cs:categoryAxis>
    <cs:lnRef idx="0"/>
    <cs:fillRef idx="0"/>
    <cs:effectRef idx="0"/>
    <cs:fontRef idx="minor">
      <a:schemeClr val="lt1">
        <a:lumMod val="75000"/>
      </a:schemeClr>
    </cs:fontRef>
    <cs:spPr>
      <a:ln w="9525" cap="flat" cmpd="sng" algn="ctr">
        <a:solidFill>
          <a:schemeClr val="lt1">
            <a:lumMod val="50000"/>
          </a:schemeClr>
        </a:solidFill>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spPr>
      <a:ln w="9525" cap="flat" cmpd="sng" algn="ctr">
        <a:solidFill>
          <a:schemeClr val="lt1">
            <a:lumMod val="50000"/>
          </a:schemeClr>
        </a:solidFill>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spPr>
      <a:ln w="9525" cap="flat" cmpd="sng" algn="ctr">
        <a:solidFill>
          <a:schemeClr val="lt1">
            <a:lumMod val="50000"/>
          </a:schemeClr>
        </a:solidFill>
      </a:ln>
    </cs:spPr>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618067</xdr:colOff>
      <xdr:row>129</xdr:row>
      <xdr:rowOff>245534</xdr:rowOff>
    </xdr:from>
    <xdr:to>
      <xdr:col>9</xdr:col>
      <xdr:colOff>770466</xdr:colOff>
      <xdr:row>131</xdr:row>
      <xdr:rowOff>16934</xdr:rowOff>
    </xdr:to>
    <xdr:sp macro="" textlink="">
      <xdr:nvSpPr>
        <xdr:cNvPr id="4" name="TextBox 3">
          <a:extLst>
            <a:ext uri="{FF2B5EF4-FFF2-40B4-BE49-F238E27FC236}">
              <a16:creationId xmlns:a16="http://schemas.microsoft.com/office/drawing/2014/main" id="{646E2F3B-EA14-BD6D-A53F-05AF4C26FB7A}"/>
            </a:ext>
          </a:extLst>
        </xdr:cNvPr>
        <xdr:cNvSpPr txBox="1"/>
      </xdr:nvSpPr>
      <xdr:spPr>
        <a:xfrm>
          <a:off x="5156200" y="33536467"/>
          <a:ext cx="3826933" cy="2794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Correlation-Coefficient(Engine_Size</a:t>
          </a:r>
          <a:r>
            <a:rPr lang="en-GB" sz="1100" baseline="0"/>
            <a:t> vs Price)=0.87</a:t>
          </a:r>
          <a:endParaRPr lang="en-GB" sz="1100"/>
        </a:p>
      </xdr:txBody>
    </xdr:sp>
    <xdr:clientData/>
  </xdr:twoCellAnchor>
  <xdr:twoCellAnchor>
    <xdr:from>
      <xdr:col>14</xdr:col>
      <xdr:colOff>766234</xdr:colOff>
      <xdr:row>129</xdr:row>
      <xdr:rowOff>177799</xdr:rowOff>
    </xdr:from>
    <xdr:to>
      <xdr:col>18</xdr:col>
      <xdr:colOff>778934</xdr:colOff>
      <xdr:row>131</xdr:row>
      <xdr:rowOff>33866</xdr:rowOff>
    </xdr:to>
    <xdr:sp macro="" textlink="">
      <xdr:nvSpPr>
        <xdr:cNvPr id="6" name="TextBox 5">
          <a:extLst>
            <a:ext uri="{FF2B5EF4-FFF2-40B4-BE49-F238E27FC236}">
              <a16:creationId xmlns:a16="http://schemas.microsoft.com/office/drawing/2014/main" id="{F5E2A82F-27D4-1E9F-2AEE-3788149AAB29}"/>
            </a:ext>
          </a:extLst>
        </xdr:cNvPr>
        <xdr:cNvSpPr txBox="1"/>
      </xdr:nvSpPr>
      <xdr:spPr>
        <a:xfrm>
          <a:off x="14228234" y="33468732"/>
          <a:ext cx="3890433" cy="364067"/>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PEAKRPM VS PRICE CORRELATION--0.09</a:t>
          </a:r>
        </a:p>
      </xdr:txBody>
    </xdr:sp>
    <xdr:clientData/>
  </xdr:twoCellAnchor>
  <xdr:twoCellAnchor>
    <xdr:from>
      <xdr:col>3</xdr:col>
      <xdr:colOff>831849</xdr:colOff>
      <xdr:row>114</xdr:row>
      <xdr:rowOff>84666</xdr:rowOff>
    </xdr:from>
    <xdr:to>
      <xdr:col>11</xdr:col>
      <xdr:colOff>728132</xdr:colOff>
      <xdr:row>129</xdr:row>
      <xdr:rowOff>12699</xdr:rowOff>
    </xdr:to>
    <xdr:graphicFrame macro="">
      <xdr:nvGraphicFramePr>
        <xdr:cNvPr id="7" name="Chart 6">
          <a:extLst>
            <a:ext uri="{FF2B5EF4-FFF2-40B4-BE49-F238E27FC236}">
              <a16:creationId xmlns:a16="http://schemas.microsoft.com/office/drawing/2014/main" id="{11B7E4EA-C8C5-DCFA-1322-5172038C52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609600</xdr:colOff>
      <xdr:row>114</xdr:row>
      <xdr:rowOff>169334</xdr:rowOff>
    </xdr:from>
    <xdr:to>
      <xdr:col>20</xdr:col>
      <xdr:colOff>152399</xdr:colOff>
      <xdr:row>128</xdr:row>
      <xdr:rowOff>220133</xdr:rowOff>
    </xdr:to>
    <xdr:graphicFrame macro="">
      <xdr:nvGraphicFramePr>
        <xdr:cNvPr id="9" name="Chart 8">
          <a:extLst>
            <a:ext uri="{FF2B5EF4-FFF2-40B4-BE49-F238E27FC236}">
              <a16:creationId xmlns:a16="http://schemas.microsoft.com/office/drawing/2014/main" id="{9426C4FA-D1F7-21E8-4D36-D3B4C7701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421218</xdr:colOff>
      <xdr:row>114</xdr:row>
      <xdr:rowOff>122767</xdr:rowOff>
    </xdr:from>
    <xdr:to>
      <xdr:col>29</xdr:col>
      <xdr:colOff>482601</xdr:colOff>
      <xdr:row>128</xdr:row>
      <xdr:rowOff>186267</xdr:rowOff>
    </xdr:to>
    <xdr:graphicFrame macro="">
      <xdr:nvGraphicFramePr>
        <xdr:cNvPr id="11" name="Chart 10">
          <a:extLst>
            <a:ext uri="{FF2B5EF4-FFF2-40B4-BE49-F238E27FC236}">
              <a16:creationId xmlns:a16="http://schemas.microsoft.com/office/drawing/2014/main" id="{5FE66F65-E8C7-0C04-20E9-37935EE75A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436034</xdr:colOff>
      <xdr:row>129</xdr:row>
      <xdr:rowOff>38101</xdr:rowOff>
    </xdr:from>
    <xdr:to>
      <xdr:col>28</xdr:col>
      <xdr:colOff>567267</xdr:colOff>
      <xdr:row>130</xdr:row>
      <xdr:rowOff>114301</xdr:rowOff>
    </xdr:to>
    <xdr:sp macro="" textlink="">
      <xdr:nvSpPr>
        <xdr:cNvPr id="12" name="TextBox 11">
          <a:extLst>
            <a:ext uri="{FF2B5EF4-FFF2-40B4-BE49-F238E27FC236}">
              <a16:creationId xmlns:a16="http://schemas.microsoft.com/office/drawing/2014/main" id="{FB896ABB-EBE0-9CC5-23E6-8D752970912E}"/>
            </a:ext>
          </a:extLst>
        </xdr:cNvPr>
        <xdr:cNvSpPr txBox="1"/>
      </xdr:nvSpPr>
      <xdr:spPr>
        <a:xfrm>
          <a:off x="24261234" y="33329034"/>
          <a:ext cx="3585633" cy="3302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100"/>
            <a:t>STROKE VS PICE CORRELATION-0.08</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1</xdr:colOff>
      <xdr:row>2</xdr:row>
      <xdr:rowOff>28646</xdr:rowOff>
    </xdr:from>
    <xdr:to>
      <xdr:col>10</xdr:col>
      <xdr:colOff>859399</xdr:colOff>
      <xdr:row>4</xdr:row>
      <xdr:rowOff>9548</xdr:rowOff>
    </xdr:to>
    <xdr:sp macro="" textlink="">
      <xdr:nvSpPr>
        <xdr:cNvPr id="2" name="TextBox 1">
          <a:extLst>
            <a:ext uri="{FF2B5EF4-FFF2-40B4-BE49-F238E27FC236}">
              <a16:creationId xmlns:a16="http://schemas.microsoft.com/office/drawing/2014/main" id="{CFFA443C-3506-1615-B352-0D6319272E82}"/>
            </a:ext>
          </a:extLst>
        </xdr:cNvPr>
        <xdr:cNvSpPr txBox="1"/>
      </xdr:nvSpPr>
      <xdr:spPr>
        <a:xfrm>
          <a:off x="5901204" y="544285"/>
          <a:ext cx="5442857" cy="496541"/>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FFFF00"/>
              </a:solidFill>
            </a:rPr>
            <a:t>This is the model’s best guess of what a typical Heely Auto car could be priced at in the U.S. market, based on its current features.</a:t>
          </a:r>
          <a:endParaRPr lang="en-GB" sz="1100">
            <a:solidFill>
              <a:srgbClr val="FFFF00"/>
            </a:solidFill>
          </a:endParaRPr>
        </a:p>
      </xdr:txBody>
    </xdr:sp>
    <xdr:clientData/>
  </xdr:twoCellAnchor>
  <xdr:twoCellAnchor>
    <xdr:from>
      <xdr:col>6</xdr:col>
      <xdr:colOff>9549</xdr:colOff>
      <xdr:row>5</xdr:row>
      <xdr:rowOff>9548</xdr:rowOff>
    </xdr:from>
    <xdr:to>
      <xdr:col>11</xdr:col>
      <xdr:colOff>725714</xdr:colOff>
      <xdr:row>7</xdr:row>
      <xdr:rowOff>9549</xdr:rowOff>
    </xdr:to>
    <xdr:sp macro="" textlink="">
      <xdr:nvSpPr>
        <xdr:cNvPr id="3" name="TextBox 2">
          <a:extLst>
            <a:ext uri="{FF2B5EF4-FFF2-40B4-BE49-F238E27FC236}">
              <a16:creationId xmlns:a16="http://schemas.microsoft.com/office/drawing/2014/main" id="{18302414-45FF-3661-E00C-C98B5710C6DD}"/>
            </a:ext>
          </a:extLst>
        </xdr:cNvPr>
        <xdr:cNvSpPr txBox="1"/>
      </xdr:nvSpPr>
      <xdr:spPr>
        <a:xfrm>
          <a:off x="5910752" y="1298646"/>
          <a:ext cx="6369097" cy="515640"/>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FFFF00"/>
              </a:solidFill>
            </a:rPr>
            <a:t>This shows the possible price range for </a:t>
          </a:r>
          <a:r>
            <a:rPr lang="en-IN" b="1">
              <a:solidFill>
                <a:srgbClr val="FFFF00"/>
              </a:solidFill>
            </a:rPr>
            <a:t>a single car</a:t>
          </a:r>
          <a:r>
            <a:rPr lang="en-IN">
              <a:solidFill>
                <a:srgbClr val="FFFF00"/>
              </a:solidFill>
            </a:rPr>
            <a:t> in the U.S. Depending on its features (engine size, drive type, fuel type, etc.), the price may fall anywhere in this range.</a:t>
          </a:r>
          <a:endParaRPr lang="en-GB" sz="1100">
            <a:solidFill>
              <a:srgbClr val="FFFF00"/>
            </a:solidFill>
          </a:endParaRPr>
        </a:p>
      </xdr:txBody>
    </xdr:sp>
    <xdr:clientData/>
  </xdr:twoCellAnchor>
  <xdr:twoCellAnchor>
    <xdr:from>
      <xdr:col>6</xdr:col>
      <xdr:colOff>9548</xdr:colOff>
      <xdr:row>8</xdr:row>
      <xdr:rowOff>9549</xdr:rowOff>
    </xdr:from>
    <xdr:to>
      <xdr:col>12</xdr:col>
      <xdr:colOff>305563</xdr:colOff>
      <xdr:row>9</xdr:row>
      <xdr:rowOff>238722</xdr:rowOff>
    </xdr:to>
    <xdr:sp macro="" textlink="">
      <xdr:nvSpPr>
        <xdr:cNvPr id="4" name="TextBox 3">
          <a:extLst>
            <a:ext uri="{FF2B5EF4-FFF2-40B4-BE49-F238E27FC236}">
              <a16:creationId xmlns:a16="http://schemas.microsoft.com/office/drawing/2014/main" id="{24D6BD31-25B6-2860-9742-64E40DC073E2}"/>
            </a:ext>
          </a:extLst>
        </xdr:cNvPr>
        <xdr:cNvSpPr txBox="1"/>
      </xdr:nvSpPr>
      <xdr:spPr>
        <a:xfrm>
          <a:off x="5910751" y="2072105"/>
          <a:ext cx="7018421" cy="486993"/>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FFFF00"/>
              </a:solidFill>
            </a:rPr>
            <a:t>This shows the </a:t>
          </a:r>
          <a:r>
            <a:rPr lang="en-IN" b="1">
              <a:solidFill>
                <a:srgbClr val="FFFF00"/>
              </a:solidFill>
            </a:rPr>
            <a:t>expected average price range</a:t>
          </a:r>
          <a:r>
            <a:rPr lang="en-IN">
              <a:solidFill>
                <a:srgbClr val="FFFF00"/>
              </a:solidFill>
            </a:rPr>
            <a:t> of Heely Auto cars if sold in the U.S. The company can be confident that its car pricing would fall within this band on average.</a:t>
          </a:r>
          <a:endParaRPr lang="en-GB" sz="1100">
            <a:solidFill>
              <a:srgbClr val="FFFF00"/>
            </a:solidFill>
          </a:endParaRPr>
        </a:p>
      </xdr:txBody>
    </xdr:sp>
    <xdr:clientData/>
  </xdr:twoCellAnchor>
  <xdr:twoCellAnchor>
    <xdr:from>
      <xdr:col>10</xdr:col>
      <xdr:colOff>133684</xdr:colOff>
      <xdr:row>17</xdr:row>
      <xdr:rowOff>38196</xdr:rowOff>
    </xdr:from>
    <xdr:to>
      <xdr:col>16</xdr:col>
      <xdr:colOff>181428</xdr:colOff>
      <xdr:row>19</xdr:row>
      <xdr:rowOff>162331</xdr:rowOff>
    </xdr:to>
    <xdr:sp macro="" textlink="">
      <xdr:nvSpPr>
        <xdr:cNvPr id="5" name="TextBox 4">
          <a:extLst>
            <a:ext uri="{FF2B5EF4-FFF2-40B4-BE49-F238E27FC236}">
              <a16:creationId xmlns:a16="http://schemas.microsoft.com/office/drawing/2014/main" id="{064EE999-EEB7-9EE1-2364-3A812A26B310}"/>
            </a:ext>
          </a:extLst>
        </xdr:cNvPr>
        <xdr:cNvSpPr txBox="1"/>
      </xdr:nvSpPr>
      <xdr:spPr>
        <a:xfrm>
          <a:off x="12002932" y="4421128"/>
          <a:ext cx="6512331" cy="639774"/>
        </a:xfrm>
        <a:prstGeom prst="rect">
          <a:avLst/>
        </a:prstGeom>
        <a:solidFill>
          <a:schemeClr val="tx2">
            <a:lumMod val="50000"/>
            <a:lumOff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FFFF00"/>
              </a:solidFill>
            </a:rPr>
            <a:t>These tables show how I calculated the expected car price (point estimate), and the range within which the average price (confidence interval) and individual car prices (prediction interval) are likely to fall based on the regression model.</a:t>
          </a:r>
          <a:endParaRPr lang="en-GB" sz="1100">
            <a:solidFill>
              <a:srgbClr val="FFFF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31750</xdr:colOff>
      <xdr:row>61</xdr:row>
      <xdr:rowOff>38100</xdr:rowOff>
    </xdr:from>
    <xdr:to>
      <xdr:col>20</xdr:col>
      <xdr:colOff>469900</xdr:colOff>
      <xdr:row>87</xdr:row>
      <xdr:rowOff>0</xdr:rowOff>
    </xdr:to>
    <xdr:graphicFrame macro="">
      <xdr:nvGraphicFramePr>
        <xdr:cNvPr id="3" name="Chart 2">
          <a:extLst>
            <a:ext uri="{FF2B5EF4-FFF2-40B4-BE49-F238E27FC236}">
              <a16:creationId xmlns:a16="http://schemas.microsoft.com/office/drawing/2014/main" id="{21BD119D-060D-5BAB-E83F-10BA3B9621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1358900</xdr:colOff>
      <xdr:row>2</xdr:row>
      <xdr:rowOff>76200</xdr:rowOff>
    </xdr:from>
    <xdr:to>
      <xdr:col>17</xdr:col>
      <xdr:colOff>241300</xdr:colOff>
      <xdr:row>30</xdr:row>
      <xdr:rowOff>127000</xdr:rowOff>
    </xdr:to>
    <xdr:graphicFrame macro="">
      <xdr:nvGraphicFramePr>
        <xdr:cNvPr id="4" name="Chart 3">
          <a:extLst>
            <a:ext uri="{FF2B5EF4-FFF2-40B4-BE49-F238E27FC236}">
              <a16:creationId xmlns:a16="http://schemas.microsoft.com/office/drawing/2014/main" id="{3F4B6436-CAF4-6F98-93CE-F6C1D71E65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899D4C-F498-6B49-B194-D83B601FD251}" name="Table1" displayName="Table1" ref="A1:P206" totalsRowShown="0">
  <autoFilter ref="A1:P206" xr:uid="{0B899D4C-F498-6B49-B194-D83B601FD251}"/>
  <tableColumns count="16">
    <tableColumn id="1" xr3:uid="{29B3385E-0182-2541-9770-AF08D2D281C1}" name="Curbweight"/>
    <tableColumn id="2" xr3:uid="{A80C1F00-457B-5D4A-A510-A3F82B0635F3}" name="Enginesize"/>
    <tableColumn id="3" xr3:uid="{BA11FE9E-299C-8242-897F-6FD69F6FFE85}" name="Boreratio"/>
    <tableColumn id="4" xr3:uid="{B648C63C-7C77-824D-A511-835F62F53C87}" name="Stroke"/>
    <tableColumn id="5" xr3:uid="{39BBCCF5-BF04-3D47-B87A-B0ECE27E0F7E}" name="Compressionratio"/>
    <tableColumn id="6" xr3:uid="{9DF151D0-D717-FF47-8CC8-BB2D703E5DE2}" name="Horsepower"/>
    <tableColumn id="7" xr3:uid="{8446235C-FBB8-B24F-A605-90E7A6C49112}" name="Peakrpm"/>
    <tableColumn id="8" xr3:uid="{1769D350-6C24-B042-9F25-48C2BC75DBA3}" name="Citympg"/>
    <tableColumn id="9" xr3:uid="{CFF196BE-8EC1-CD44-B749-BBF5CB765EC0}" name="Highwaympg"/>
    <tableColumn id="10" xr3:uid="{5F1308AD-769F-3A47-8617-D34493813353}" name="diesel"/>
    <tableColumn id="11" xr3:uid="{067CC1F5-16AA-034F-AD78-E498C8B8D491}" name="turbo"/>
    <tableColumn id="12" xr3:uid="{21CA21FF-38BA-E440-B8FA-C3BC875A21FA}" name="four"/>
    <tableColumn id="13" xr3:uid="{E5624994-3D08-FF42-BC96-6B7C6763B1DE}" name="4wd"/>
    <tableColumn id="14" xr3:uid="{070DEFEF-0D72-034B-B94A-33412BA56509}" name="fwd"/>
    <tableColumn id="15" xr3:uid="{BB583163-C06F-7D41-BD6F-361745E37890}" name="rear"/>
    <tableColumn id="16" xr3:uid="{FB985BAC-0908-F941-B504-DAC043E6A31E}" name="Pric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A54C455-BAC3-0B44-867F-317B8A37EDF4}" name="Table4" displayName="Table4" ref="B147:V352" totalsRowShown="0">
  <autoFilter ref="B147:V352" xr:uid="{1A54C455-BAC3-0B44-867F-317B8A37EDF4}"/>
  <tableColumns count="21">
    <tableColumn id="1" xr3:uid="{A07DF85C-7650-2447-BC52-EC3F8CA5CC94}" name="Symboling"/>
    <tableColumn id="2" xr3:uid="{5EFB7FA4-3289-9C4C-A85F-7E4A8B4FD658}" name="Wheelbase"/>
    <tableColumn id="3" xr3:uid="{2232C6E5-BA43-9449-9AAD-F9A95D16FDEA}" name="Carlength"/>
    <tableColumn id="4" xr3:uid="{0AA9638D-289C-4949-86E5-DFF77AF13A67}" name="Carwidth"/>
    <tableColumn id="5" xr3:uid="{D3C98E5F-CA13-FD45-A965-5128AB885657}" name="Carheight"/>
    <tableColumn id="6" xr3:uid="{84EABE09-93CC-D441-9599-61AC167FAED6}" name="Curbweight" dataDxfId="30"/>
    <tableColumn id="7" xr3:uid="{01DB8F95-7AF8-154E-B36C-42242F8A32D7}" name="Enginesize" dataDxfId="29"/>
    <tableColumn id="8" xr3:uid="{00AAE83A-8FD7-384C-B12E-81DA673740D7}" name="Boreratio" dataDxfId="28"/>
    <tableColumn id="9" xr3:uid="{3A07D60F-C9AA-0B4C-AB3D-3F2229C4CCCD}" name="Stroke" dataDxfId="27"/>
    <tableColumn id="10" xr3:uid="{1F2D70CD-C5DE-D74C-B0B6-DA79493CAFD4}" name="Compressionratio" dataDxfId="26"/>
    <tableColumn id="11" xr3:uid="{29115D78-7890-D44F-A1CA-258B4CF0FA8F}" name="Horsepower" dataDxfId="25"/>
    <tableColumn id="12" xr3:uid="{9B3A49C8-8FDB-0445-A532-398392573E74}" name="Peakrpm" dataDxfId="24"/>
    <tableColumn id="13" xr3:uid="{27F522EF-8BE0-524A-8F98-C48903D941E6}" name="Citympg" dataDxfId="23"/>
    <tableColumn id="14" xr3:uid="{AEFF7F07-58DF-834E-9B48-5B66E6F76EEA}" name="Highwaympg" dataDxfId="22"/>
    <tableColumn id="15" xr3:uid="{0A3959C2-2429-4741-A5A9-924455E4646A}" name="diesel"/>
    <tableColumn id="16" xr3:uid="{7B67B3A3-6172-CE41-8422-96FAB63EAC6B}" name="turbo"/>
    <tableColumn id="17" xr3:uid="{3CFA34B6-C516-4D41-9CDE-7E48C3061823}" name="four"/>
    <tableColumn id="18" xr3:uid="{58544927-0B25-4743-8DA5-B4C5F04C8D03}" name="4wd"/>
    <tableColumn id="19" xr3:uid="{2042A8C5-8BD0-6540-9758-FC5CFA917427}" name="fwd"/>
    <tableColumn id="20" xr3:uid="{6FA7D021-E3C7-6642-9A38-052F48C2F4AA}" name="rear"/>
    <tableColumn id="21" xr3:uid="{8E326805-7CC0-5145-A963-9A42504EC810}" name="Pri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33169DE-682A-964C-9976-B13A38E5A0C3}" name="Table5" displayName="Table5" ref="E64:N269" totalsRowShown="0" headerRowDxfId="13" dataDxfId="14" headerRowCellStyle="Normal 2" dataCellStyle="Normal 2">
  <autoFilter ref="E64:N269" xr:uid="{E33169DE-682A-964C-9976-B13A38E5A0C3}"/>
  <tableColumns count="10">
    <tableColumn id="1" xr3:uid="{1DC25CA4-417E-104F-A43D-BFE58EEB5699}" name="Carheight" dataDxfId="21"/>
    <tableColumn id="2" xr3:uid="{929093F8-D00C-0446-9EFE-93364C50DB0E}" name="Enginesize"/>
    <tableColumn id="3" xr3:uid="{EA2DC48F-65E9-904D-8972-286F2EBAB205}" name="Stroke"/>
    <tableColumn id="4" xr3:uid="{D60F9060-5792-854D-A0AA-07A130774106}" name="Peakrpm"/>
    <tableColumn id="5" xr3:uid="{724302D2-B770-2C4E-8AEA-13496C95950E}" name="diesel" dataDxfId="20" dataCellStyle="Normal 2"/>
    <tableColumn id="6" xr3:uid="{3088DEE5-59D9-5E49-A456-54F58365A7B8}" name="turbo" dataDxfId="19" dataCellStyle="Normal 2"/>
    <tableColumn id="7" xr3:uid="{E65F87CD-1E3C-2445-984E-08DD731FCC53}" name="4wd" dataDxfId="18" dataCellStyle="Normal 2"/>
    <tableColumn id="8" xr3:uid="{57B5E317-A39F-C548-B1B0-905C7EF5AEA9}" name="fwd" dataDxfId="17" dataCellStyle="Normal 2"/>
    <tableColumn id="9" xr3:uid="{4EE4A157-9F11-E044-AE7B-B09059D69F64}" name="rear" dataDxfId="16" dataCellStyle="Normal 2"/>
    <tableColumn id="10" xr3:uid="{DA1732B3-6E51-1249-984E-3BA142AD2D97}" name="Price" dataDxfId="15" dataCellStyle="Normal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F17F03D-CC55-934E-9989-84ADC0F5EC4D}" name="Table9" displayName="Table9" ref="F11:I22" totalsRowShown="0" headerRowDxfId="8" dataDxfId="9" headerRowCellStyle="Normal 2" dataCellStyle="Normal 2">
  <autoFilter ref="F11:I22" xr:uid="{6F17F03D-CC55-934E-9989-84ADC0F5EC4D}"/>
  <tableColumns count="4">
    <tableColumn id="1" xr3:uid="{53E5025C-DE5C-3A42-BEEA-504BDB2A66D0}" name="Term"/>
    <tableColumn id="2" xr3:uid="{DB1812CD-6CB0-C545-892A-ED92D4E942A1}" name="Meaning"/>
    <tableColumn id="3" xr3:uid="{F9EC6299-8B0C-6B42-AB9D-37C6FE6D605C}" name="Value" dataDxfId="7"/>
    <tableColumn id="4" xr3:uid="{0B08B75E-EE00-234A-85BA-19F7B38F46A2}" name="Interpretation (Plain Language)"/>
  </tableColumns>
  <tableStyleInfo name="TableStyleMedium23"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E95B40-C483-854B-BA65-D77E3D665158}" name="Table7" displayName="Table7" ref="H18:I25" totalsRowShown="0" headerRowDxfId="11" dataDxfId="12" headerRowCellStyle="Normal 2" dataCellStyle="Normal 2">
  <autoFilter ref="H18:I25" xr:uid="{93E95B40-C483-854B-BA65-D77E3D665158}"/>
  <tableColumns count="2">
    <tableColumn id="1" xr3:uid="{A86FB371-ADF8-9F44-BC66-421757BC6456}" name="Prediction Interval " dataDxfId="4" dataCellStyle="Normal 2"/>
    <tableColumn id="2" xr3:uid="{C83ECA38-118E-D944-B31B-47E351CE8752}" name="Value" dataDxfId="3" dataCellStyle="Normal 2"/>
  </tableColumns>
  <tableStyleInfo name="TableStyleDark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A69328E-C87F-2245-B50F-DC8AFDB3848E}" name="Table8" displayName="Table8" ref="E18:F26" totalsRowShown="0" headerRowDxfId="10" headerRowCellStyle="Normal 2">
  <autoFilter ref="E18:F26" xr:uid="{0A69328E-C87F-2245-B50F-DC8AFDB3848E}"/>
  <tableColumns count="2">
    <tableColumn id="1" xr3:uid="{45876217-0855-0F44-9BC1-AB4D652A322E}" name="Confidence-Interval" dataDxfId="5"/>
    <tableColumn id="2" xr3:uid="{9EC7C8C3-7AAB-9848-ADB1-890398B8DCA9}" name="Value" dataDxfId="6" dataCellStyle="Normal 2"/>
  </tableColumns>
  <tableStyleInfo name="TableStyleDark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F424487-9C38-1840-8AA4-22370313E886}" name="Table10" displayName="Table10" ref="J32:K41" totalsRowShown="0" headerRowCellStyle="Normal 2 3">
  <autoFilter ref="J32:K41" xr:uid="{EF424487-9C38-1840-8AA4-22370313E886}"/>
  <tableColumns count="2">
    <tableColumn id="1" xr3:uid="{12DF13BC-B909-C247-9811-5B52E50054CE}" name="Metrics" dataCellStyle="Normal 2 3"/>
    <tableColumn id="2" xr3:uid="{AAA7D576-C052-C14A-8F74-77BBFBA40CC0}" name="Value" dataDxfId="2" dataCellStyle="Normal 2 3">
      <calculatedColumnFormula>K17</calculatedColumnFormula>
    </tableColumn>
  </tableColumns>
  <tableStyleInfo name="TableStyleDark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38D7D6-AA71-EF49-9536-9DD506D289BE}" name="Table11" displayName="Table11" ref="O32:P43" totalsRowShown="0" headerRowCellStyle="Normal 2 3" dataCellStyle="Normal 2 3">
  <autoFilter ref="O32:P43" xr:uid="{0438D7D6-AA71-EF49-9536-9DD506D289BE}"/>
  <tableColumns count="2">
    <tableColumn id="1" xr3:uid="{A9E1D614-B646-BE4B-B571-E37F651CB774}" name="Metric" dataCellStyle="Normal 2 3"/>
    <tableColumn id="2" xr3:uid="{825AC055-E27E-624A-8191-CD4F82F03B79}" name="Values" dataDxfId="1" dataCellStyle="Normal 2 3"/>
  </tableColumns>
  <tableStyleInfo name="TableStyleDark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0FFDAE0-7492-8F47-AE08-B65D81961E3E}" name="Table12" displayName="Table12" ref="R32:S41" totalsRowShown="0" headerRowCellStyle="Normal 2 3">
  <autoFilter ref="R32:S41" xr:uid="{C0FFDAE0-7492-8F47-AE08-B65D81961E3E}"/>
  <tableColumns count="2">
    <tableColumn id="1" xr3:uid="{B25AC2EF-F461-F44E-A5D3-3A78F483E5AA}" name="Metrics" dataCellStyle="Normal 2 3"/>
    <tableColumn id="2" xr3:uid="{90B19107-9BDF-B74B-8B1B-EA28AE553875}" name="Value" dataDxfId="0" dataCellStyle="Normal 2 3">
      <calculatedColumnFormula>K17</calculatedColumnFormula>
    </tableColumn>
  </tableColumns>
  <tableStyleInfo name="TableStyleDark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840F0B-852D-9647-90F9-365DD4E3AC47}">
  <dimension ref="A4:H51"/>
  <sheetViews>
    <sheetView workbookViewId="0">
      <selection activeCell="D22" sqref="D22"/>
    </sheetView>
  </sheetViews>
  <sheetFormatPr baseColWidth="10" defaultColWidth="7" defaultRowHeight="17.25" customHeight="1"/>
  <cols>
    <col min="1" max="1" width="37.5" customWidth="1"/>
    <col min="2" max="2" width="99.5" customWidth="1"/>
    <col min="3" max="3" width="23.33203125" bestFit="1" customWidth="1"/>
    <col min="4" max="4" width="101.83203125" bestFit="1" customWidth="1"/>
    <col min="5" max="7" width="37.5" customWidth="1"/>
    <col min="8" max="8" width="4.1640625" hidden="1" customWidth="1"/>
    <col min="11" max="11" width="105" customWidth="1"/>
  </cols>
  <sheetData>
    <row r="4" spans="3:4" ht="17.25" customHeight="1" thickBot="1"/>
    <row r="5" spans="3:4" ht="17.25" customHeight="1">
      <c r="C5" s="111" t="s">
        <v>11</v>
      </c>
      <c r="D5" s="112" t="s">
        <v>12</v>
      </c>
    </row>
    <row r="6" spans="3:4" ht="17.25" customHeight="1">
      <c r="C6" s="113" t="s">
        <v>13</v>
      </c>
      <c r="D6" s="114" t="s">
        <v>14</v>
      </c>
    </row>
    <row r="7" spans="3:4" ht="17.25" customHeight="1">
      <c r="C7" s="113" t="s">
        <v>85</v>
      </c>
      <c r="D7" s="114" t="s">
        <v>15</v>
      </c>
    </row>
    <row r="8" spans="3:4" ht="17.25" customHeight="1">
      <c r="C8" s="113" t="s">
        <v>86</v>
      </c>
      <c r="D8" s="114" t="s">
        <v>16</v>
      </c>
    </row>
    <row r="9" spans="3:4" ht="17.25" customHeight="1">
      <c r="C9" s="113" t="s">
        <v>87</v>
      </c>
      <c r="D9" s="114" t="s">
        <v>17</v>
      </c>
    </row>
    <row r="10" spans="3:4" ht="17.25" customHeight="1">
      <c r="C10" s="113" t="s">
        <v>88</v>
      </c>
      <c r="D10" s="114" t="s">
        <v>18</v>
      </c>
    </row>
    <row r="11" spans="3:4" ht="17.25" customHeight="1">
      <c r="C11" s="113" t="s">
        <v>89</v>
      </c>
      <c r="D11" s="114" t="s">
        <v>19</v>
      </c>
    </row>
    <row r="12" spans="3:4" ht="17.25" customHeight="1">
      <c r="C12" s="113" t="s">
        <v>71</v>
      </c>
      <c r="D12" s="114" t="s">
        <v>20</v>
      </c>
    </row>
    <row r="13" spans="3:4" ht="17.25" customHeight="1">
      <c r="C13" s="113" t="s">
        <v>72</v>
      </c>
      <c r="D13" s="114" t="s">
        <v>21</v>
      </c>
    </row>
    <row r="14" spans="3:4" ht="17.25" customHeight="1">
      <c r="C14" s="113" t="s">
        <v>73</v>
      </c>
      <c r="D14" s="114" t="s">
        <v>22</v>
      </c>
    </row>
    <row r="15" spans="3:4" ht="17.25" customHeight="1">
      <c r="C15" s="113" t="s">
        <v>74</v>
      </c>
      <c r="D15" s="114" t="s">
        <v>23</v>
      </c>
    </row>
    <row r="16" spans="3:4" ht="17.25" customHeight="1">
      <c r="C16" s="113" t="s">
        <v>75</v>
      </c>
      <c r="D16" s="114" t="s">
        <v>24</v>
      </c>
    </row>
    <row r="17" spans="1:4" ht="17.25" customHeight="1">
      <c r="C17" s="113" t="s">
        <v>76</v>
      </c>
      <c r="D17" s="114" t="s">
        <v>25</v>
      </c>
    </row>
    <row r="18" spans="1:4" ht="17.25" customHeight="1">
      <c r="C18" s="113" t="s">
        <v>77</v>
      </c>
      <c r="D18" s="114" t="s">
        <v>26</v>
      </c>
    </row>
    <row r="19" spans="1:4" ht="17.25" customHeight="1">
      <c r="C19" s="113" t="s">
        <v>78</v>
      </c>
      <c r="D19" s="114" t="s">
        <v>27</v>
      </c>
    </row>
    <row r="20" spans="1:4" ht="17.25" customHeight="1">
      <c r="C20" s="113" t="s">
        <v>79</v>
      </c>
      <c r="D20" s="114" t="s">
        <v>28</v>
      </c>
    </row>
    <row r="21" spans="1:4" ht="17.25" customHeight="1">
      <c r="C21" s="113" t="s">
        <v>80</v>
      </c>
      <c r="D21" s="114" t="s">
        <v>29</v>
      </c>
    </row>
    <row r="22" spans="1:4" ht="17.25" customHeight="1">
      <c r="C22" s="113" t="s">
        <v>81</v>
      </c>
      <c r="D22" s="114" t="s">
        <v>30</v>
      </c>
    </row>
    <row r="23" spans="1:4" ht="17.25" customHeight="1">
      <c r="C23" s="113" t="s">
        <v>82</v>
      </c>
      <c r="D23" s="114" t="s">
        <v>31</v>
      </c>
    </row>
    <row r="24" spans="1:4" ht="17.25" customHeight="1">
      <c r="C24" s="113" t="s">
        <v>83</v>
      </c>
      <c r="D24" s="114" t="s">
        <v>32</v>
      </c>
    </row>
    <row r="25" spans="1:4" ht="17.25" customHeight="1" thickBot="1">
      <c r="C25" s="115" t="s">
        <v>90</v>
      </c>
      <c r="D25" s="116" t="s">
        <v>33</v>
      </c>
    </row>
    <row r="31" spans="1:4" ht="17.25" customHeight="1">
      <c r="A31" s="74"/>
    </row>
    <row r="32" spans="1:4" ht="17.25" customHeight="1">
      <c r="A32" s="74"/>
    </row>
    <row r="33" spans="1:1" ht="17.25" customHeight="1">
      <c r="A33" s="74"/>
    </row>
    <row r="34" spans="1:1" ht="17.25" customHeight="1">
      <c r="A34" s="74"/>
    </row>
    <row r="35" spans="1:1" ht="17.25" customHeight="1">
      <c r="A35" s="74"/>
    </row>
    <row r="36" spans="1:1" ht="17.25" customHeight="1">
      <c r="A36" s="74"/>
    </row>
    <row r="37" spans="1:1" ht="17.25" customHeight="1">
      <c r="A37" s="74"/>
    </row>
    <row r="38" spans="1:1" ht="17.25" customHeight="1">
      <c r="A38" s="74"/>
    </row>
    <row r="39" spans="1:1" ht="17.25" customHeight="1">
      <c r="A39" s="74"/>
    </row>
    <row r="40" spans="1:1" ht="17.25" customHeight="1">
      <c r="A40" s="74"/>
    </row>
    <row r="41" spans="1:1" ht="17.25" customHeight="1">
      <c r="A41" s="74"/>
    </row>
    <row r="42" spans="1:1" ht="17.25" customHeight="1">
      <c r="A42" s="74"/>
    </row>
    <row r="43" spans="1:1" ht="17.25" customHeight="1">
      <c r="A43" s="74"/>
    </row>
    <row r="44" spans="1:1" ht="17.25" customHeight="1">
      <c r="A44" s="74"/>
    </row>
    <row r="45" spans="1:1" ht="17.25" customHeight="1">
      <c r="A45" s="74"/>
    </row>
    <row r="46" spans="1:1" ht="17.25" customHeight="1">
      <c r="A46" s="74"/>
    </row>
    <row r="47" spans="1:1" ht="17.25" customHeight="1">
      <c r="A47" s="74"/>
    </row>
    <row r="48" spans="1:1" ht="17.25" customHeight="1">
      <c r="A48" s="74"/>
    </row>
    <row r="49" spans="1:1" ht="17.25" customHeight="1">
      <c r="A49" s="74"/>
    </row>
    <row r="50" spans="1:1" ht="17.25" customHeight="1">
      <c r="A50" s="74"/>
    </row>
    <row r="51" spans="1:1" ht="17.25" customHeight="1">
      <c r="A51" s="74"/>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A7817-6742-A34D-AEA8-6EC9AB071C20}">
  <sheetPr>
    <tabColor theme="9"/>
  </sheetPr>
  <dimension ref="A1:U206"/>
  <sheetViews>
    <sheetView workbookViewId="0">
      <selection activeCell="M1" sqref="M1:M206"/>
    </sheetView>
  </sheetViews>
  <sheetFormatPr baseColWidth="10" defaultRowHeight="16"/>
  <cols>
    <col min="1" max="1" width="9" bestFit="1" customWidth="1"/>
    <col min="2" max="2" width="11.6640625" bestFit="1" customWidth="1"/>
    <col min="3" max="3" width="12.33203125" bestFit="1" customWidth="1"/>
    <col min="4" max="4" width="11.33203125" bestFit="1" customWidth="1"/>
    <col min="6" max="6" width="11.33203125" bestFit="1" customWidth="1"/>
    <col min="7" max="7" width="12.6640625" bestFit="1" customWidth="1"/>
    <col min="8" max="8" width="12.1640625" bestFit="1" customWidth="1"/>
    <col min="9" max="9" width="11.1640625" bestFit="1" customWidth="1"/>
    <col min="10" max="10" width="8.6640625" bestFit="1" customWidth="1"/>
    <col min="11" max="11" width="17.83203125" bestFit="1" customWidth="1"/>
    <col min="12" max="12" width="13.1640625" bestFit="1" customWidth="1"/>
    <col min="13" max="13" width="10.6640625" bestFit="1" customWidth="1"/>
    <col min="14" max="14" width="10" bestFit="1" customWidth="1"/>
    <col min="15" max="15" width="13.5" bestFit="1" customWidth="1"/>
    <col min="16" max="16" width="20" customWidth="1"/>
    <col min="17" max="17" width="17.6640625" customWidth="1"/>
    <col min="18" max="18" width="19.5" customWidth="1"/>
    <col min="19" max="19" width="21.5" customWidth="1"/>
    <col min="20" max="20" width="10" bestFit="1" customWidth="1"/>
    <col min="21" max="21" width="18.1640625" customWidth="1"/>
  </cols>
  <sheetData>
    <row r="1" spans="1:21">
      <c r="A1" s="73" t="s">
        <v>11</v>
      </c>
      <c r="B1" s="73" t="s">
        <v>70</v>
      </c>
      <c r="C1" s="73" t="s">
        <v>71</v>
      </c>
      <c r="D1" s="73" t="s">
        <v>72</v>
      </c>
      <c r="E1" s="73" t="s">
        <v>73</v>
      </c>
      <c r="F1" s="73" t="s">
        <v>74</v>
      </c>
      <c r="G1" s="73" t="s">
        <v>75</v>
      </c>
      <c r="H1" s="73" t="s">
        <v>76</v>
      </c>
      <c r="I1" s="73" t="s">
        <v>77</v>
      </c>
      <c r="J1" s="73" t="s">
        <v>78</v>
      </c>
      <c r="K1" s="73" t="s">
        <v>79</v>
      </c>
      <c r="L1" s="73" t="s">
        <v>80</v>
      </c>
      <c r="M1" s="73" t="s">
        <v>81</v>
      </c>
      <c r="N1" s="73" t="s">
        <v>82</v>
      </c>
      <c r="O1" s="73" t="s">
        <v>83</v>
      </c>
      <c r="P1" s="73" t="s">
        <v>84</v>
      </c>
      <c r="Q1" s="73" t="s">
        <v>85</v>
      </c>
      <c r="R1" s="73" t="s">
        <v>86</v>
      </c>
      <c r="S1" s="73" t="s">
        <v>87</v>
      </c>
      <c r="T1" s="73" t="s">
        <v>88</v>
      </c>
      <c r="U1" s="73" t="s">
        <v>89</v>
      </c>
    </row>
    <row r="2" spans="1:21">
      <c r="A2">
        <v>1</v>
      </c>
      <c r="B2">
        <v>3</v>
      </c>
      <c r="C2">
        <v>88.6</v>
      </c>
      <c r="D2">
        <v>168.8</v>
      </c>
      <c r="E2">
        <v>64.099999999999994</v>
      </c>
      <c r="F2">
        <v>48.8</v>
      </c>
      <c r="G2">
        <v>2548</v>
      </c>
      <c r="H2">
        <v>130</v>
      </c>
      <c r="I2">
        <v>3.47</v>
      </c>
      <c r="J2">
        <v>2.68</v>
      </c>
      <c r="K2">
        <v>9</v>
      </c>
      <c r="L2">
        <v>111</v>
      </c>
      <c r="M2">
        <v>5000</v>
      </c>
      <c r="N2">
        <v>21</v>
      </c>
      <c r="O2">
        <v>27</v>
      </c>
      <c r="P2">
        <v>13495</v>
      </c>
      <c r="Q2" t="s">
        <v>0</v>
      </c>
      <c r="R2" t="s">
        <v>1</v>
      </c>
      <c r="S2" t="s">
        <v>2</v>
      </c>
      <c r="T2" t="s">
        <v>3</v>
      </c>
      <c r="U2" t="s">
        <v>4</v>
      </c>
    </row>
    <row r="3" spans="1:21">
      <c r="A3">
        <v>2</v>
      </c>
      <c r="B3">
        <v>3</v>
      </c>
      <c r="C3">
        <v>88.6</v>
      </c>
      <c r="D3">
        <v>168.8</v>
      </c>
      <c r="E3">
        <v>64.099999999999994</v>
      </c>
      <c r="F3">
        <v>48.8</v>
      </c>
      <c r="G3">
        <v>2548</v>
      </c>
      <c r="H3">
        <v>130</v>
      </c>
      <c r="I3">
        <v>3.47</v>
      </c>
      <c r="J3">
        <v>2.68</v>
      </c>
      <c r="K3">
        <v>9</v>
      </c>
      <c r="L3">
        <v>111</v>
      </c>
      <c r="M3">
        <v>5000</v>
      </c>
      <c r="N3">
        <v>21</v>
      </c>
      <c r="O3">
        <v>27</v>
      </c>
      <c r="P3">
        <v>16500</v>
      </c>
      <c r="Q3" t="s">
        <v>0</v>
      </c>
      <c r="R3" t="s">
        <v>1</v>
      </c>
      <c r="S3" t="s">
        <v>2</v>
      </c>
      <c r="T3" t="s">
        <v>3</v>
      </c>
      <c r="U3" t="s">
        <v>4</v>
      </c>
    </row>
    <row r="4" spans="1:21">
      <c r="A4">
        <v>3</v>
      </c>
      <c r="B4">
        <v>1</v>
      </c>
      <c r="C4">
        <v>94.5</v>
      </c>
      <c r="D4">
        <v>171.2</v>
      </c>
      <c r="E4">
        <v>65.5</v>
      </c>
      <c r="F4">
        <v>52.4</v>
      </c>
      <c r="G4">
        <v>2823</v>
      </c>
      <c r="H4">
        <v>152</v>
      </c>
      <c r="I4">
        <v>2.68</v>
      </c>
      <c r="J4">
        <v>3.47</v>
      </c>
      <c r="K4">
        <v>9</v>
      </c>
      <c r="L4">
        <v>154</v>
      </c>
      <c r="M4">
        <v>5000</v>
      </c>
      <c r="N4">
        <v>19</v>
      </c>
      <c r="O4">
        <v>26</v>
      </c>
      <c r="P4">
        <v>16500</v>
      </c>
      <c r="Q4" t="s">
        <v>0</v>
      </c>
      <c r="R4" t="s">
        <v>1</v>
      </c>
      <c r="S4" t="s">
        <v>2</v>
      </c>
      <c r="T4" t="s">
        <v>3</v>
      </c>
      <c r="U4" t="s">
        <v>4</v>
      </c>
    </row>
    <row r="5" spans="1:21">
      <c r="A5">
        <v>4</v>
      </c>
      <c r="B5">
        <v>2</v>
      </c>
      <c r="C5">
        <v>99.8</v>
      </c>
      <c r="D5">
        <v>176.6</v>
      </c>
      <c r="E5">
        <v>66.2</v>
      </c>
      <c r="F5">
        <v>54.3</v>
      </c>
      <c r="G5">
        <v>2337</v>
      </c>
      <c r="H5">
        <v>109</v>
      </c>
      <c r="I5">
        <v>3.19</v>
      </c>
      <c r="J5">
        <v>3.4</v>
      </c>
      <c r="K5">
        <v>10</v>
      </c>
      <c r="L5">
        <v>102</v>
      </c>
      <c r="M5">
        <v>5500</v>
      </c>
      <c r="N5">
        <v>24</v>
      </c>
      <c r="O5">
        <v>30</v>
      </c>
      <c r="P5">
        <v>13950</v>
      </c>
      <c r="Q5" t="s">
        <v>0</v>
      </c>
      <c r="R5" t="s">
        <v>1</v>
      </c>
      <c r="S5" t="s">
        <v>5</v>
      </c>
      <c r="T5" t="s">
        <v>6</v>
      </c>
      <c r="U5" t="s">
        <v>4</v>
      </c>
    </row>
    <row r="6" spans="1:21">
      <c r="A6">
        <v>5</v>
      </c>
      <c r="B6">
        <v>2</v>
      </c>
      <c r="C6">
        <v>99.4</v>
      </c>
      <c r="D6">
        <v>176.6</v>
      </c>
      <c r="E6">
        <v>66.400000000000006</v>
      </c>
      <c r="F6">
        <v>54.3</v>
      </c>
      <c r="G6">
        <v>2824</v>
      </c>
      <c r="H6">
        <v>136</v>
      </c>
      <c r="I6">
        <v>3.19</v>
      </c>
      <c r="J6">
        <v>3.4</v>
      </c>
      <c r="K6">
        <v>8</v>
      </c>
      <c r="L6">
        <v>115</v>
      </c>
      <c r="M6">
        <v>5500</v>
      </c>
      <c r="N6">
        <v>18</v>
      </c>
      <c r="O6">
        <v>22</v>
      </c>
      <c r="P6">
        <v>17450</v>
      </c>
      <c r="Q6" t="s">
        <v>0</v>
      </c>
      <c r="R6" t="s">
        <v>1</v>
      </c>
      <c r="S6" t="s">
        <v>5</v>
      </c>
      <c r="T6" t="s">
        <v>7</v>
      </c>
      <c r="U6" t="s">
        <v>4</v>
      </c>
    </row>
    <row r="7" spans="1:21">
      <c r="A7">
        <v>6</v>
      </c>
      <c r="B7">
        <v>2</v>
      </c>
      <c r="C7">
        <v>99.8</v>
      </c>
      <c r="D7">
        <v>177.3</v>
      </c>
      <c r="E7">
        <v>66.3</v>
      </c>
      <c r="F7">
        <v>53.1</v>
      </c>
      <c r="G7">
        <v>2507</v>
      </c>
      <c r="H7">
        <v>136</v>
      </c>
      <c r="I7">
        <v>3.19</v>
      </c>
      <c r="J7">
        <v>3.4</v>
      </c>
      <c r="K7">
        <v>8.5</v>
      </c>
      <c r="L7">
        <v>110</v>
      </c>
      <c r="M7">
        <v>5500</v>
      </c>
      <c r="N7">
        <v>19</v>
      </c>
      <c r="O7">
        <v>25</v>
      </c>
      <c r="P7">
        <v>15250</v>
      </c>
      <c r="Q7" t="s">
        <v>0</v>
      </c>
      <c r="R7" t="s">
        <v>1</v>
      </c>
      <c r="S7" t="s">
        <v>2</v>
      </c>
      <c r="T7" t="s">
        <v>6</v>
      </c>
      <c r="U7" t="s">
        <v>4</v>
      </c>
    </row>
    <row r="8" spans="1:21">
      <c r="A8">
        <v>7</v>
      </c>
      <c r="B8">
        <v>1</v>
      </c>
      <c r="C8">
        <v>105.8</v>
      </c>
      <c r="D8">
        <v>192.7</v>
      </c>
      <c r="E8">
        <v>71.400000000000006</v>
      </c>
      <c r="F8">
        <v>55.7</v>
      </c>
      <c r="G8">
        <v>2844</v>
      </c>
      <c r="H8">
        <v>136</v>
      </c>
      <c r="I8">
        <v>3.19</v>
      </c>
      <c r="J8">
        <v>3.4</v>
      </c>
      <c r="K8">
        <v>8.5</v>
      </c>
      <c r="L8">
        <v>110</v>
      </c>
      <c r="M8">
        <v>5500</v>
      </c>
      <c r="N8">
        <v>19</v>
      </c>
      <c r="O8">
        <v>25</v>
      </c>
      <c r="P8">
        <v>17710</v>
      </c>
      <c r="Q8" t="s">
        <v>0</v>
      </c>
      <c r="R8" t="s">
        <v>1</v>
      </c>
      <c r="S8" t="s">
        <v>5</v>
      </c>
      <c r="T8" t="s">
        <v>6</v>
      </c>
      <c r="U8" t="s">
        <v>4</v>
      </c>
    </row>
    <row r="9" spans="1:21">
      <c r="A9">
        <v>8</v>
      </c>
      <c r="B9">
        <v>1</v>
      </c>
      <c r="C9">
        <v>105.8</v>
      </c>
      <c r="D9">
        <v>192.7</v>
      </c>
      <c r="E9">
        <v>71.400000000000006</v>
      </c>
      <c r="F9">
        <v>55.7</v>
      </c>
      <c r="G9">
        <v>2954</v>
      </c>
      <c r="H9">
        <v>136</v>
      </c>
      <c r="I9">
        <v>3.19</v>
      </c>
      <c r="J9">
        <v>3.4</v>
      </c>
      <c r="K9">
        <v>8.5</v>
      </c>
      <c r="L9">
        <v>110</v>
      </c>
      <c r="M9">
        <v>5500</v>
      </c>
      <c r="N9">
        <v>19</v>
      </c>
      <c r="O9">
        <v>25</v>
      </c>
      <c r="P9">
        <v>18920</v>
      </c>
      <c r="Q9" t="s">
        <v>0</v>
      </c>
      <c r="R9" t="s">
        <v>1</v>
      </c>
      <c r="S9" t="s">
        <v>5</v>
      </c>
      <c r="T9" t="s">
        <v>6</v>
      </c>
      <c r="U9" t="s">
        <v>4</v>
      </c>
    </row>
    <row r="10" spans="1:21">
      <c r="A10">
        <v>9</v>
      </c>
      <c r="B10">
        <v>1</v>
      </c>
      <c r="C10">
        <v>105.8</v>
      </c>
      <c r="D10">
        <v>192.7</v>
      </c>
      <c r="E10">
        <v>71.400000000000006</v>
      </c>
      <c r="F10">
        <v>55.9</v>
      </c>
      <c r="G10">
        <v>3086</v>
      </c>
      <c r="H10">
        <v>131</v>
      </c>
      <c r="I10">
        <v>3.13</v>
      </c>
      <c r="J10">
        <v>3.4</v>
      </c>
      <c r="K10">
        <v>8.3000000000000007</v>
      </c>
      <c r="L10">
        <v>140</v>
      </c>
      <c r="M10">
        <v>5500</v>
      </c>
      <c r="N10">
        <v>17</v>
      </c>
      <c r="O10">
        <v>20</v>
      </c>
      <c r="P10">
        <v>23875</v>
      </c>
      <c r="Q10" t="s">
        <v>0</v>
      </c>
      <c r="R10" t="s">
        <v>8</v>
      </c>
      <c r="S10" t="s">
        <v>5</v>
      </c>
      <c r="T10" t="s">
        <v>6</v>
      </c>
      <c r="U10" t="s">
        <v>4</v>
      </c>
    </row>
    <row r="11" spans="1:21">
      <c r="A11">
        <v>10</v>
      </c>
      <c r="B11">
        <v>0</v>
      </c>
      <c r="C11">
        <v>99.5</v>
      </c>
      <c r="D11">
        <v>178.2</v>
      </c>
      <c r="E11">
        <v>67.900000000000006</v>
      </c>
      <c r="F11">
        <v>52</v>
      </c>
      <c r="G11">
        <v>3053</v>
      </c>
      <c r="H11">
        <v>131</v>
      </c>
      <c r="I11">
        <v>3.13</v>
      </c>
      <c r="J11">
        <v>3.4</v>
      </c>
      <c r="K11">
        <v>7</v>
      </c>
      <c r="L11">
        <v>160</v>
      </c>
      <c r="M11">
        <v>5500</v>
      </c>
      <c r="N11">
        <v>16</v>
      </c>
      <c r="O11">
        <v>22</v>
      </c>
      <c r="P11">
        <v>17859.167000000001</v>
      </c>
      <c r="Q11" t="s">
        <v>0</v>
      </c>
      <c r="R11" t="s">
        <v>8</v>
      </c>
      <c r="S11" t="s">
        <v>2</v>
      </c>
      <c r="T11" t="s">
        <v>7</v>
      </c>
      <c r="U11" t="s">
        <v>4</v>
      </c>
    </row>
    <row r="12" spans="1:21">
      <c r="A12">
        <v>11</v>
      </c>
      <c r="B12">
        <v>2</v>
      </c>
      <c r="C12">
        <v>101.2</v>
      </c>
      <c r="D12">
        <v>176.8</v>
      </c>
      <c r="E12">
        <v>64.8</v>
      </c>
      <c r="F12">
        <v>54.3</v>
      </c>
      <c r="G12">
        <v>2395</v>
      </c>
      <c r="H12">
        <v>108</v>
      </c>
      <c r="I12">
        <v>3.5</v>
      </c>
      <c r="J12">
        <v>2.8</v>
      </c>
      <c r="K12">
        <v>8.8000000000000007</v>
      </c>
      <c r="L12">
        <v>101</v>
      </c>
      <c r="M12">
        <v>5800</v>
      </c>
      <c r="N12">
        <v>23</v>
      </c>
      <c r="O12">
        <v>29</v>
      </c>
      <c r="P12">
        <v>16430</v>
      </c>
      <c r="Q12" t="s">
        <v>0</v>
      </c>
      <c r="R12" t="s">
        <v>1</v>
      </c>
      <c r="S12" t="s">
        <v>2</v>
      </c>
      <c r="T12" t="s">
        <v>3</v>
      </c>
      <c r="U12" t="s">
        <v>4</v>
      </c>
    </row>
    <row r="13" spans="1:21">
      <c r="A13">
        <v>12</v>
      </c>
      <c r="B13">
        <v>0</v>
      </c>
      <c r="C13">
        <v>101.2</v>
      </c>
      <c r="D13">
        <v>176.8</v>
      </c>
      <c r="E13">
        <v>64.8</v>
      </c>
      <c r="F13">
        <v>54.3</v>
      </c>
      <c r="G13">
        <v>2395</v>
      </c>
      <c r="H13">
        <v>108</v>
      </c>
      <c r="I13">
        <v>3.5</v>
      </c>
      <c r="J13">
        <v>2.8</v>
      </c>
      <c r="K13">
        <v>8.8000000000000007</v>
      </c>
      <c r="L13">
        <v>101</v>
      </c>
      <c r="M13">
        <v>5800</v>
      </c>
      <c r="N13">
        <v>23</v>
      </c>
      <c r="O13">
        <v>29</v>
      </c>
      <c r="P13">
        <v>16925</v>
      </c>
      <c r="Q13" t="s">
        <v>0</v>
      </c>
      <c r="R13" t="s">
        <v>1</v>
      </c>
      <c r="S13" t="s">
        <v>5</v>
      </c>
      <c r="T13" t="s">
        <v>3</v>
      </c>
      <c r="U13" t="s">
        <v>4</v>
      </c>
    </row>
    <row r="14" spans="1:21">
      <c r="A14">
        <v>13</v>
      </c>
      <c r="B14">
        <v>0</v>
      </c>
      <c r="C14">
        <v>101.2</v>
      </c>
      <c r="D14">
        <v>176.8</v>
      </c>
      <c r="E14">
        <v>64.8</v>
      </c>
      <c r="F14">
        <v>54.3</v>
      </c>
      <c r="G14">
        <v>2710</v>
      </c>
      <c r="H14">
        <v>164</v>
      </c>
      <c r="I14">
        <v>3.31</v>
      </c>
      <c r="J14">
        <v>3.19</v>
      </c>
      <c r="K14">
        <v>9</v>
      </c>
      <c r="L14">
        <v>121</v>
      </c>
      <c r="M14">
        <v>4250</v>
      </c>
      <c r="N14">
        <v>21</v>
      </c>
      <c r="O14">
        <v>28</v>
      </c>
      <c r="P14">
        <v>20970</v>
      </c>
      <c r="Q14" t="s">
        <v>0</v>
      </c>
      <c r="R14" t="s">
        <v>1</v>
      </c>
      <c r="S14" t="s">
        <v>2</v>
      </c>
      <c r="T14" t="s">
        <v>3</v>
      </c>
      <c r="U14" t="s">
        <v>4</v>
      </c>
    </row>
    <row r="15" spans="1:21">
      <c r="A15">
        <v>14</v>
      </c>
      <c r="B15">
        <v>0</v>
      </c>
      <c r="C15">
        <v>101.2</v>
      </c>
      <c r="D15">
        <v>176.8</v>
      </c>
      <c r="E15">
        <v>64.8</v>
      </c>
      <c r="F15">
        <v>54.3</v>
      </c>
      <c r="G15">
        <v>2765</v>
      </c>
      <c r="H15">
        <v>164</v>
      </c>
      <c r="I15">
        <v>3.31</v>
      </c>
      <c r="J15">
        <v>3.19</v>
      </c>
      <c r="K15">
        <v>9</v>
      </c>
      <c r="L15">
        <v>121</v>
      </c>
      <c r="M15">
        <v>4250</v>
      </c>
      <c r="N15">
        <v>21</v>
      </c>
      <c r="O15">
        <v>28</v>
      </c>
      <c r="P15">
        <v>21105</v>
      </c>
      <c r="Q15" t="s">
        <v>0</v>
      </c>
      <c r="R15" t="s">
        <v>1</v>
      </c>
      <c r="S15" t="s">
        <v>5</v>
      </c>
      <c r="T15" t="s">
        <v>3</v>
      </c>
      <c r="U15" t="s">
        <v>4</v>
      </c>
    </row>
    <row r="16" spans="1:21">
      <c r="A16">
        <v>15</v>
      </c>
      <c r="B16">
        <v>1</v>
      </c>
      <c r="C16">
        <v>103.5</v>
      </c>
      <c r="D16">
        <v>189</v>
      </c>
      <c r="E16">
        <v>66.900000000000006</v>
      </c>
      <c r="F16">
        <v>55.7</v>
      </c>
      <c r="G16">
        <v>3055</v>
      </c>
      <c r="H16">
        <v>164</v>
      </c>
      <c r="I16">
        <v>3.31</v>
      </c>
      <c r="J16">
        <v>3.19</v>
      </c>
      <c r="K16">
        <v>9</v>
      </c>
      <c r="L16">
        <v>121</v>
      </c>
      <c r="M16">
        <v>4250</v>
      </c>
      <c r="N16">
        <v>20</v>
      </c>
      <c r="O16">
        <v>25</v>
      </c>
      <c r="P16">
        <v>24565</v>
      </c>
      <c r="Q16" t="s">
        <v>0</v>
      </c>
      <c r="R16" t="s">
        <v>1</v>
      </c>
      <c r="S16" t="s">
        <v>5</v>
      </c>
      <c r="T16" t="s">
        <v>3</v>
      </c>
      <c r="U16" t="s">
        <v>4</v>
      </c>
    </row>
    <row r="17" spans="1:21">
      <c r="A17">
        <v>16</v>
      </c>
      <c r="B17">
        <v>0</v>
      </c>
      <c r="C17">
        <v>103.5</v>
      </c>
      <c r="D17">
        <v>189</v>
      </c>
      <c r="E17">
        <v>66.900000000000006</v>
      </c>
      <c r="F17">
        <v>55.7</v>
      </c>
      <c r="G17">
        <v>3230</v>
      </c>
      <c r="H17">
        <v>209</v>
      </c>
      <c r="I17">
        <v>3.62</v>
      </c>
      <c r="J17">
        <v>3.39</v>
      </c>
      <c r="K17">
        <v>8</v>
      </c>
      <c r="L17">
        <v>182</v>
      </c>
      <c r="M17">
        <v>5400</v>
      </c>
      <c r="N17">
        <v>16</v>
      </c>
      <c r="O17">
        <v>22</v>
      </c>
      <c r="P17">
        <v>30760</v>
      </c>
      <c r="Q17" t="s">
        <v>0</v>
      </c>
      <c r="R17" t="s">
        <v>1</v>
      </c>
      <c r="S17" t="s">
        <v>5</v>
      </c>
      <c r="T17" t="s">
        <v>3</v>
      </c>
      <c r="U17" t="s">
        <v>4</v>
      </c>
    </row>
    <row r="18" spans="1:21">
      <c r="A18">
        <v>17</v>
      </c>
      <c r="B18">
        <v>0</v>
      </c>
      <c r="C18">
        <v>103.5</v>
      </c>
      <c r="D18">
        <v>193.8</v>
      </c>
      <c r="E18">
        <v>67.900000000000006</v>
      </c>
      <c r="F18">
        <v>53.7</v>
      </c>
      <c r="G18">
        <v>3380</v>
      </c>
      <c r="H18">
        <v>209</v>
      </c>
      <c r="I18">
        <v>3.62</v>
      </c>
      <c r="J18">
        <v>3.39</v>
      </c>
      <c r="K18">
        <v>8</v>
      </c>
      <c r="L18">
        <v>182</v>
      </c>
      <c r="M18">
        <v>5400</v>
      </c>
      <c r="N18">
        <v>16</v>
      </c>
      <c r="O18">
        <v>22</v>
      </c>
      <c r="P18">
        <v>41315</v>
      </c>
      <c r="Q18" t="s">
        <v>0</v>
      </c>
      <c r="R18" t="s">
        <v>1</v>
      </c>
      <c r="S18" t="s">
        <v>2</v>
      </c>
      <c r="T18" t="s">
        <v>3</v>
      </c>
      <c r="U18" t="s">
        <v>4</v>
      </c>
    </row>
    <row r="19" spans="1:21">
      <c r="A19">
        <v>18</v>
      </c>
      <c r="B19">
        <v>0</v>
      </c>
      <c r="C19">
        <v>110</v>
      </c>
      <c r="D19">
        <v>197</v>
      </c>
      <c r="E19">
        <v>70.900000000000006</v>
      </c>
      <c r="F19">
        <v>56.3</v>
      </c>
      <c r="G19">
        <v>3505</v>
      </c>
      <c r="H19">
        <v>209</v>
      </c>
      <c r="I19">
        <v>3.62</v>
      </c>
      <c r="J19">
        <v>3.39</v>
      </c>
      <c r="K19">
        <v>8</v>
      </c>
      <c r="L19">
        <v>182</v>
      </c>
      <c r="M19">
        <v>5400</v>
      </c>
      <c r="N19">
        <v>15</v>
      </c>
      <c r="O19">
        <v>20</v>
      </c>
      <c r="P19">
        <v>36880</v>
      </c>
      <c r="Q19" t="s">
        <v>0</v>
      </c>
      <c r="R19" t="s">
        <v>1</v>
      </c>
      <c r="S19" t="s">
        <v>5</v>
      </c>
      <c r="T19" t="s">
        <v>3</v>
      </c>
      <c r="U19" t="s">
        <v>4</v>
      </c>
    </row>
    <row r="20" spans="1:21">
      <c r="A20">
        <v>19</v>
      </c>
      <c r="B20">
        <v>2</v>
      </c>
      <c r="C20">
        <v>88.4</v>
      </c>
      <c r="D20">
        <v>141.1</v>
      </c>
      <c r="E20">
        <v>60.3</v>
      </c>
      <c r="F20">
        <v>53.2</v>
      </c>
      <c r="G20">
        <v>1488</v>
      </c>
      <c r="H20">
        <v>61</v>
      </c>
      <c r="I20">
        <v>2.91</v>
      </c>
      <c r="J20">
        <v>3.03</v>
      </c>
      <c r="K20">
        <v>9.5</v>
      </c>
      <c r="L20">
        <v>48</v>
      </c>
      <c r="M20">
        <v>5100</v>
      </c>
      <c r="N20">
        <v>47</v>
      </c>
      <c r="O20">
        <v>53</v>
      </c>
      <c r="P20">
        <v>5151</v>
      </c>
      <c r="Q20" t="s">
        <v>0</v>
      </c>
      <c r="R20" t="s">
        <v>1</v>
      </c>
      <c r="S20" t="s">
        <v>2</v>
      </c>
      <c r="T20" t="s">
        <v>6</v>
      </c>
      <c r="U20" t="s">
        <v>4</v>
      </c>
    </row>
    <row r="21" spans="1:21">
      <c r="A21">
        <v>20</v>
      </c>
      <c r="B21">
        <v>1</v>
      </c>
      <c r="C21">
        <v>94.5</v>
      </c>
      <c r="D21">
        <v>155.9</v>
      </c>
      <c r="E21">
        <v>63.6</v>
      </c>
      <c r="F21">
        <v>52</v>
      </c>
      <c r="G21">
        <v>1874</v>
      </c>
      <c r="H21">
        <v>90</v>
      </c>
      <c r="I21">
        <v>3.03</v>
      </c>
      <c r="J21">
        <v>3.11</v>
      </c>
      <c r="K21">
        <v>9.6</v>
      </c>
      <c r="L21">
        <v>70</v>
      </c>
      <c r="M21">
        <v>5400</v>
      </c>
      <c r="N21">
        <v>38</v>
      </c>
      <c r="O21">
        <v>43</v>
      </c>
      <c r="P21">
        <v>6295</v>
      </c>
      <c r="Q21" t="s">
        <v>0</v>
      </c>
      <c r="R21" t="s">
        <v>1</v>
      </c>
      <c r="S21" t="s">
        <v>2</v>
      </c>
      <c r="T21" t="s">
        <v>6</v>
      </c>
      <c r="U21" t="s">
        <v>4</v>
      </c>
    </row>
    <row r="22" spans="1:21">
      <c r="A22">
        <v>21</v>
      </c>
      <c r="B22">
        <v>0</v>
      </c>
      <c r="C22">
        <v>94.5</v>
      </c>
      <c r="D22">
        <v>158.80000000000001</v>
      </c>
      <c r="E22">
        <v>63.6</v>
      </c>
      <c r="F22">
        <v>52</v>
      </c>
      <c r="G22">
        <v>1909</v>
      </c>
      <c r="H22">
        <v>90</v>
      </c>
      <c r="I22">
        <v>3.03</v>
      </c>
      <c r="J22">
        <v>3.11</v>
      </c>
      <c r="K22">
        <v>9.6</v>
      </c>
      <c r="L22">
        <v>70</v>
      </c>
      <c r="M22">
        <v>5400</v>
      </c>
      <c r="N22">
        <v>38</v>
      </c>
      <c r="O22">
        <v>43</v>
      </c>
      <c r="P22">
        <v>6575</v>
      </c>
      <c r="Q22" t="s">
        <v>0</v>
      </c>
      <c r="R22" t="s">
        <v>1</v>
      </c>
      <c r="S22" t="s">
        <v>5</v>
      </c>
      <c r="T22" t="s">
        <v>6</v>
      </c>
      <c r="U22" t="s">
        <v>4</v>
      </c>
    </row>
    <row r="23" spans="1:21">
      <c r="A23">
        <v>22</v>
      </c>
      <c r="B23">
        <v>1</v>
      </c>
      <c r="C23">
        <v>93.7</v>
      </c>
      <c r="D23">
        <v>157.30000000000001</v>
      </c>
      <c r="E23">
        <v>63.8</v>
      </c>
      <c r="F23">
        <v>50.8</v>
      </c>
      <c r="G23">
        <v>1876</v>
      </c>
      <c r="H23">
        <v>90</v>
      </c>
      <c r="I23">
        <v>2.97</v>
      </c>
      <c r="J23">
        <v>3.23</v>
      </c>
      <c r="K23">
        <v>9.41</v>
      </c>
      <c r="L23">
        <v>68</v>
      </c>
      <c r="M23">
        <v>5500</v>
      </c>
      <c r="N23">
        <v>37</v>
      </c>
      <c r="O23">
        <v>41</v>
      </c>
      <c r="P23">
        <v>5572</v>
      </c>
      <c r="Q23" t="s">
        <v>0</v>
      </c>
      <c r="R23" t="s">
        <v>1</v>
      </c>
      <c r="S23" t="s">
        <v>2</v>
      </c>
      <c r="T23" t="s">
        <v>6</v>
      </c>
      <c r="U23" t="s">
        <v>4</v>
      </c>
    </row>
    <row r="24" spans="1:21">
      <c r="A24">
        <v>23</v>
      </c>
      <c r="B24">
        <v>1</v>
      </c>
      <c r="C24">
        <v>93.7</v>
      </c>
      <c r="D24">
        <v>157.30000000000001</v>
      </c>
      <c r="E24">
        <v>63.8</v>
      </c>
      <c r="F24">
        <v>50.8</v>
      </c>
      <c r="G24">
        <v>1876</v>
      </c>
      <c r="H24">
        <v>90</v>
      </c>
      <c r="I24">
        <v>2.97</v>
      </c>
      <c r="J24">
        <v>3.23</v>
      </c>
      <c r="K24">
        <v>9.4</v>
      </c>
      <c r="L24">
        <v>68</v>
      </c>
      <c r="M24">
        <v>5500</v>
      </c>
      <c r="N24">
        <v>31</v>
      </c>
      <c r="O24">
        <v>38</v>
      </c>
      <c r="P24">
        <v>6377</v>
      </c>
      <c r="Q24" t="s">
        <v>0</v>
      </c>
      <c r="R24" t="s">
        <v>1</v>
      </c>
      <c r="S24" t="s">
        <v>2</v>
      </c>
      <c r="T24" t="s">
        <v>6</v>
      </c>
      <c r="U24" t="s">
        <v>4</v>
      </c>
    </row>
    <row r="25" spans="1:21">
      <c r="A25">
        <v>24</v>
      </c>
      <c r="B25">
        <v>1</v>
      </c>
      <c r="C25">
        <v>93.7</v>
      </c>
      <c r="D25">
        <v>157.30000000000001</v>
      </c>
      <c r="E25">
        <v>63.8</v>
      </c>
      <c r="F25">
        <v>50.8</v>
      </c>
      <c r="G25">
        <v>2128</v>
      </c>
      <c r="H25">
        <v>98</v>
      </c>
      <c r="I25">
        <v>3.03</v>
      </c>
      <c r="J25">
        <v>3.39</v>
      </c>
      <c r="K25">
        <v>7.6</v>
      </c>
      <c r="L25">
        <v>102</v>
      </c>
      <c r="M25">
        <v>5500</v>
      </c>
      <c r="N25">
        <v>24</v>
      </c>
      <c r="O25">
        <v>30</v>
      </c>
      <c r="P25">
        <v>7957</v>
      </c>
      <c r="Q25" t="s">
        <v>0</v>
      </c>
      <c r="R25" t="s">
        <v>8</v>
      </c>
      <c r="S25" t="s">
        <v>2</v>
      </c>
      <c r="T25" t="s">
        <v>6</v>
      </c>
      <c r="U25" t="s">
        <v>4</v>
      </c>
    </row>
    <row r="26" spans="1:21">
      <c r="A26">
        <v>25</v>
      </c>
      <c r="B26">
        <v>1</v>
      </c>
      <c r="C26">
        <v>93.7</v>
      </c>
      <c r="D26">
        <v>157.30000000000001</v>
      </c>
      <c r="E26">
        <v>63.8</v>
      </c>
      <c r="F26">
        <v>50.6</v>
      </c>
      <c r="G26">
        <v>1967</v>
      </c>
      <c r="H26">
        <v>90</v>
      </c>
      <c r="I26">
        <v>2.97</v>
      </c>
      <c r="J26">
        <v>3.23</v>
      </c>
      <c r="K26">
        <v>9.4</v>
      </c>
      <c r="L26">
        <v>68</v>
      </c>
      <c r="M26">
        <v>5500</v>
      </c>
      <c r="N26">
        <v>31</v>
      </c>
      <c r="O26">
        <v>38</v>
      </c>
      <c r="P26">
        <v>6229</v>
      </c>
      <c r="Q26" t="s">
        <v>0</v>
      </c>
      <c r="R26" t="s">
        <v>1</v>
      </c>
      <c r="S26" t="s">
        <v>5</v>
      </c>
      <c r="T26" t="s">
        <v>6</v>
      </c>
      <c r="U26" t="s">
        <v>4</v>
      </c>
    </row>
    <row r="27" spans="1:21">
      <c r="A27">
        <v>26</v>
      </c>
      <c r="B27">
        <v>1</v>
      </c>
      <c r="C27">
        <v>93.7</v>
      </c>
      <c r="D27">
        <v>157.30000000000001</v>
      </c>
      <c r="E27">
        <v>63.8</v>
      </c>
      <c r="F27">
        <v>50.6</v>
      </c>
      <c r="G27">
        <v>1989</v>
      </c>
      <c r="H27">
        <v>90</v>
      </c>
      <c r="I27">
        <v>2.97</v>
      </c>
      <c r="J27">
        <v>3.23</v>
      </c>
      <c r="K27">
        <v>9.4</v>
      </c>
      <c r="L27">
        <v>68</v>
      </c>
      <c r="M27">
        <v>5500</v>
      </c>
      <c r="N27">
        <v>31</v>
      </c>
      <c r="O27">
        <v>38</v>
      </c>
      <c r="P27">
        <v>6692</v>
      </c>
      <c r="Q27" t="s">
        <v>0</v>
      </c>
      <c r="R27" t="s">
        <v>1</v>
      </c>
      <c r="S27" t="s">
        <v>5</v>
      </c>
      <c r="T27" t="s">
        <v>6</v>
      </c>
      <c r="U27" t="s">
        <v>4</v>
      </c>
    </row>
    <row r="28" spans="1:21">
      <c r="A28">
        <v>27</v>
      </c>
      <c r="B28">
        <v>1</v>
      </c>
      <c r="C28">
        <v>93.7</v>
      </c>
      <c r="D28">
        <v>157.30000000000001</v>
      </c>
      <c r="E28">
        <v>63.8</v>
      </c>
      <c r="F28">
        <v>50.6</v>
      </c>
      <c r="G28">
        <v>1989</v>
      </c>
      <c r="H28">
        <v>90</v>
      </c>
      <c r="I28">
        <v>2.97</v>
      </c>
      <c r="J28">
        <v>3.23</v>
      </c>
      <c r="K28">
        <v>9.4</v>
      </c>
      <c r="L28">
        <v>68</v>
      </c>
      <c r="M28">
        <v>5500</v>
      </c>
      <c r="N28">
        <v>31</v>
      </c>
      <c r="O28">
        <v>38</v>
      </c>
      <c r="P28">
        <v>7609</v>
      </c>
      <c r="Q28" t="s">
        <v>0</v>
      </c>
      <c r="R28" t="s">
        <v>1</v>
      </c>
      <c r="S28" t="s">
        <v>5</v>
      </c>
      <c r="T28" t="s">
        <v>6</v>
      </c>
      <c r="U28" t="s">
        <v>4</v>
      </c>
    </row>
    <row r="29" spans="1:21">
      <c r="A29">
        <v>28</v>
      </c>
      <c r="B29">
        <v>1</v>
      </c>
      <c r="C29">
        <v>93.7</v>
      </c>
      <c r="D29">
        <v>157.30000000000001</v>
      </c>
      <c r="E29">
        <v>63.8</v>
      </c>
      <c r="F29">
        <v>50.6</v>
      </c>
      <c r="G29">
        <v>2191</v>
      </c>
      <c r="H29">
        <v>98</v>
      </c>
      <c r="I29">
        <v>3.03</v>
      </c>
      <c r="J29">
        <v>3.39</v>
      </c>
      <c r="K29">
        <v>7.6</v>
      </c>
      <c r="L29">
        <v>102</v>
      </c>
      <c r="M29">
        <v>5500</v>
      </c>
      <c r="N29">
        <v>24</v>
      </c>
      <c r="O29">
        <v>30</v>
      </c>
      <c r="P29">
        <v>8558</v>
      </c>
      <c r="Q29" t="s">
        <v>0</v>
      </c>
      <c r="R29" t="s">
        <v>8</v>
      </c>
      <c r="S29" t="s">
        <v>2</v>
      </c>
      <c r="T29" t="s">
        <v>6</v>
      </c>
      <c r="U29" t="s">
        <v>4</v>
      </c>
    </row>
    <row r="30" spans="1:21">
      <c r="A30">
        <v>29</v>
      </c>
      <c r="B30">
        <v>-1</v>
      </c>
      <c r="C30">
        <v>103.3</v>
      </c>
      <c r="D30">
        <v>174.6</v>
      </c>
      <c r="E30">
        <v>64.599999999999994</v>
      </c>
      <c r="F30">
        <v>59.8</v>
      </c>
      <c r="G30">
        <v>2535</v>
      </c>
      <c r="H30">
        <v>122</v>
      </c>
      <c r="I30">
        <v>3.34</v>
      </c>
      <c r="J30">
        <v>3.46</v>
      </c>
      <c r="K30">
        <v>8.5</v>
      </c>
      <c r="L30">
        <v>88</v>
      </c>
      <c r="M30">
        <v>5000</v>
      </c>
      <c r="N30">
        <v>24</v>
      </c>
      <c r="O30">
        <v>30</v>
      </c>
      <c r="P30">
        <v>8921</v>
      </c>
      <c r="Q30" t="s">
        <v>0</v>
      </c>
      <c r="R30" t="s">
        <v>1</v>
      </c>
      <c r="S30" t="s">
        <v>5</v>
      </c>
      <c r="T30" t="s">
        <v>6</v>
      </c>
      <c r="U30" t="s">
        <v>4</v>
      </c>
    </row>
    <row r="31" spans="1:21">
      <c r="A31">
        <v>30</v>
      </c>
      <c r="B31">
        <v>3</v>
      </c>
      <c r="C31">
        <v>95.9</v>
      </c>
      <c r="D31">
        <v>173.2</v>
      </c>
      <c r="E31">
        <v>66.3</v>
      </c>
      <c r="F31">
        <v>50.2</v>
      </c>
      <c r="G31">
        <v>2811</v>
      </c>
      <c r="H31">
        <v>156</v>
      </c>
      <c r="I31">
        <v>3.6</v>
      </c>
      <c r="J31">
        <v>3.9</v>
      </c>
      <c r="K31">
        <v>7</v>
      </c>
      <c r="L31">
        <v>145</v>
      </c>
      <c r="M31">
        <v>5000</v>
      </c>
      <c r="N31">
        <v>19</v>
      </c>
      <c r="O31">
        <v>24</v>
      </c>
      <c r="P31">
        <v>12964</v>
      </c>
      <c r="Q31" t="s">
        <v>0</v>
      </c>
      <c r="R31" t="s">
        <v>8</v>
      </c>
      <c r="S31" t="s">
        <v>2</v>
      </c>
      <c r="T31" t="s">
        <v>6</v>
      </c>
      <c r="U31" t="s">
        <v>4</v>
      </c>
    </row>
    <row r="32" spans="1:21">
      <c r="A32">
        <v>31</v>
      </c>
      <c r="B32">
        <v>2</v>
      </c>
      <c r="C32">
        <v>86.6</v>
      </c>
      <c r="D32">
        <v>144.6</v>
      </c>
      <c r="E32">
        <v>63.9</v>
      </c>
      <c r="F32">
        <v>50.8</v>
      </c>
      <c r="G32">
        <v>1713</v>
      </c>
      <c r="H32">
        <v>92</v>
      </c>
      <c r="I32">
        <v>2.91</v>
      </c>
      <c r="J32">
        <v>3.41</v>
      </c>
      <c r="K32">
        <v>9.6</v>
      </c>
      <c r="L32">
        <v>58</v>
      </c>
      <c r="M32">
        <v>4800</v>
      </c>
      <c r="N32">
        <v>49</v>
      </c>
      <c r="O32">
        <v>54</v>
      </c>
      <c r="P32">
        <v>6479</v>
      </c>
      <c r="Q32" t="s">
        <v>0</v>
      </c>
      <c r="R32" t="s">
        <v>1</v>
      </c>
      <c r="S32" t="s">
        <v>2</v>
      </c>
      <c r="T32" t="s">
        <v>6</v>
      </c>
      <c r="U32" t="s">
        <v>4</v>
      </c>
    </row>
    <row r="33" spans="1:21">
      <c r="A33">
        <v>32</v>
      </c>
      <c r="B33">
        <v>2</v>
      </c>
      <c r="C33">
        <v>86.6</v>
      </c>
      <c r="D33">
        <v>144.6</v>
      </c>
      <c r="E33">
        <v>63.9</v>
      </c>
      <c r="F33">
        <v>50.8</v>
      </c>
      <c r="G33">
        <v>1819</v>
      </c>
      <c r="H33">
        <v>92</v>
      </c>
      <c r="I33">
        <v>2.91</v>
      </c>
      <c r="J33">
        <v>3.41</v>
      </c>
      <c r="K33">
        <v>9.1999999999999993</v>
      </c>
      <c r="L33">
        <v>76</v>
      </c>
      <c r="M33">
        <v>6000</v>
      </c>
      <c r="N33">
        <v>31</v>
      </c>
      <c r="O33">
        <v>38</v>
      </c>
      <c r="P33">
        <v>6855</v>
      </c>
      <c r="Q33" t="s">
        <v>0</v>
      </c>
      <c r="R33" t="s">
        <v>1</v>
      </c>
      <c r="S33" t="s">
        <v>2</v>
      </c>
      <c r="T33" t="s">
        <v>6</v>
      </c>
      <c r="U33" t="s">
        <v>4</v>
      </c>
    </row>
    <row r="34" spans="1:21">
      <c r="A34">
        <v>33</v>
      </c>
      <c r="B34">
        <v>1</v>
      </c>
      <c r="C34">
        <v>93.7</v>
      </c>
      <c r="D34">
        <v>150</v>
      </c>
      <c r="E34">
        <v>64</v>
      </c>
      <c r="F34">
        <v>52.6</v>
      </c>
      <c r="G34">
        <v>1837</v>
      </c>
      <c r="H34">
        <v>79</v>
      </c>
      <c r="I34">
        <v>2.91</v>
      </c>
      <c r="J34">
        <v>3.07</v>
      </c>
      <c r="K34">
        <v>10.1</v>
      </c>
      <c r="L34">
        <v>60</v>
      </c>
      <c r="M34">
        <v>5500</v>
      </c>
      <c r="N34">
        <v>38</v>
      </c>
      <c r="O34">
        <v>42</v>
      </c>
      <c r="P34">
        <v>5399</v>
      </c>
      <c r="Q34" t="s">
        <v>0</v>
      </c>
      <c r="R34" t="s">
        <v>1</v>
      </c>
      <c r="S34" t="s">
        <v>2</v>
      </c>
      <c r="T34" t="s">
        <v>6</v>
      </c>
      <c r="U34" t="s">
        <v>4</v>
      </c>
    </row>
    <row r="35" spans="1:21">
      <c r="A35">
        <v>34</v>
      </c>
      <c r="B35">
        <v>1</v>
      </c>
      <c r="C35">
        <v>93.7</v>
      </c>
      <c r="D35">
        <v>150</v>
      </c>
      <c r="E35">
        <v>64</v>
      </c>
      <c r="F35">
        <v>52.6</v>
      </c>
      <c r="G35">
        <v>1940</v>
      </c>
      <c r="H35">
        <v>92</v>
      </c>
      <c r="I35">
        <v>2.91</v>
      </c>
      <c r="J35">
        <v>3.41</v>
      </c>
      <c r="K35">
        <v>9.1999999999999993</v>
      </c>
      <c r="L35">
        <v>76</v>
      </c>
      <c r="M35">
        <v>6000</v>
      </c>
      <c r="N35">
        <v>30</v>
      </c>
      <c r="O35">
        <v>34</v>
      </c>
      <c r="P35">
        <v>6529</v>
      </c>
      <c r="Q35" t="s">
        <v>0</v>
      </c>
      <c r="R35" t="s">
        <v>1</v>
      </c>
      <c r="S35" t="s">
        <v>2</v>
      </c>
      <c r="T35" t="s">
        <v>6</v>
      </c>
      <c r="U35" t="s">
        <v>4</v>
      </c>
    </row>
    <row r="36" spans="1:21">
      <c r="A36">
        <v>35</v>
      </c>
      <c r="B36">
        <v>1</v>
      </c>
      <c r="C36">
        <v>93.7</v>
      </c>
      <c r="D36">
        <v>150</v>
      </c>
      <c r="E36">
        <v>64</v>
      </c>
      <c r="F36">
        <v>52.6</v>
      </c>
      <c r="G36">
        <v>1956</v>
      </c>
      <c r="H36">
        <v>92</v>
      </c>
      <c r="I36">
        <v>2.91</v>
      </c>
      <c r="J36">
        <v>3.41</v>
      </c>
      <c r="K36">
        <v>9.1999999999999993</v>
      </c>
      <c r="L36">
        <v>76</v>
      </c>
      <c r="M36">
        <v>6000</v>
      </c>
      <c r="N36">
        <v>30</v>
      </c>
      <c r="O36">
        <v>34</v>
      </c>
      <c r="P36">
        <v>7129</v>
      </c>
      <c r="Q36" t="s">
        <v>0</v>
      </c>
      <c r="R36" t="s">
        <v>1</v>
      </c>
      <c r="S36" t="s">
        <v>2</v>
      </c>
      <c r="T36" t="s">
        <v>6</v>
      </c>
      <c r="U36" t="s">
        <v>4</v>
      </c>
    </row>
    <row r="37" spans="1:21">
      <c r="A37">
        <v>36</v>
      </c>
      <c r="B37">
        <v>0</v>
      </c>
      <c r="C37">
        <v>96.5</v>
      </c>
      <c r="D37">
        <v>163.4</v>
      </c>
      <c r="E37">
        <v>64</v>
      </c>
      <c r="F37">
        <v>54.5</v>
      </c>
      <c r="G37">
        <v>2010</v>
      </c>
      <c r="H37">
        <v>92</v>
      </c>
      <c r="I37">
        <v>2.91</v>
      </c>
      <c r="J37">
        <v>3.41</v>
      </c>
      <c r="K37">
        <v>9.1999999999999993</v>
      </c>
      <c r="L37">
        <v>76</v>
      </c>
      <c r="M37">
        <v>6000</v>
      </c>
      <c r="N37">
        <v>30</v>
      </c>
      <c r="O37">
        <v>34</v>
      </c>
      <c r="P37">
        <v>7295</v>
      </c>
      <c r="Q37" t="s">
        <v>0</v>
      </c>
      <c r="R37" t="s">
        <v>1</v>
      </c>
      <c r="S37" t="s">
        <v>5</v>
      </c>
      <c r="T37" t="s">
        <v>6</v>
      </c>
      <c r="U37" t="s">
        <v>4</v>
      </c>
    </row>
    <row r="38" spans="1:21">
      <c r="A38">
        <v>37</v>
      </c>
      <c r="B38">
        <v>0</v>
      </c>
      <c r="C38">
        <v>96.5</v>
      </c>
      <c r="D38">
        <v>157.1</v>
      </c>
      <c r="E38">
        <v>63.9</v>
      </c>
      <c r="F38">
        <v>58.3</v>
      </c>
      <c r="G38">
        <v>2024</v>
      </c>
      <c r="H38">
        <v>92</v>
      </c>
      <c r="I38">
        <v>2.92</v>
      </c>
      <c r="J38">
        <v>3.41</v>
      </c>
      <c r="K38">
        <v>9.1999999999999993</v>
      </c>
      <c r="L38">
        <v>76</v>
      </c>
      <c r="M38">
        <v>6000</v>
      </c>
      <c r="N38">
        <v>30</v>
      </c>
      <c r="O38">
        <v>34</v>
      </c>
      <c r="P38">
        <v>7295</v>
      </c>
      <c r="Q38" t="s">
        <v>0</v>
      </c>
      <c r="R38" t="s">
        <v>1</v>
      </c>
      <c r="S38" t="s">
        <v>5</v>
      </c>
      <c r="T38" t="s">
        <v>6</v>
      </c>
      <c r="U38" t="s">
        <v>4</v>
      </c>
    </row>
    <row r="39" spans="1:21">
      <c r="A39">
        <v>38</v>
      </c>
      <c r="B39">
        <v>0</v>
      </c>
      <c r="C39">
        <v>96.5</v>
      </c>
      <c r="D39">
        <v>167.5</v>
      </c>
      <c r="E39">
        <v>65.2</v>
      </c>
      <c r="F39">
        <v>53.3</v>
      </c>
      <c r="G39">
        <v>2236</v>
      </c>
      <c r="H39">
        <v>110</v>
      </c>
      <c r="I39">
        <v>3.15</v>
      </c>
      <c r="J39">
        <v>3.58</v>
      </c>
      <c r="K39">
        <v>9</v>
      </c>
      <c r="L39">
        <v>86</v>
      </c>
      <c r="M39">
        <v>5800</v>
      </c>
      <c r="N39">
        <v>27</v>
      </c>
      <c r="O39">
        <v>33</v>
      </c>
      <c r="P39">
        <v>7895</v>
      </c>
      <c r="Q39" t="s">
        <v>0</v>
      </c>
      <c r="R39" t="s">
        <v>1</v>
      </c>
      <c r="S39" t="s">
        <v>2</v>
      </c>
      <c r="T39" t="s">
        <v>6</v>
      </c>
      <c r="U39" t="s">
        <v>4</v>
      </c>
    </row>
    <row r="40" spans="1:21">
      <c r="A40">
        <v>39</v>
      </c>
      <c r="B40">
        <v>0</v>
      </c>
      <c r="C40">
        <v>96.5</v>
      </c>
      <c r="D40">
        <v>167.5</v>
      </c>
      <c r="E40">
        <v>65.2</v>
      </c>
      <c r="F40">
        <v>53.3</v>
      </c>
      <c r="G40">
        <v>2289</v>
      </c>
      <c r="H40">
        <v>110</v>
      </c>
      <c r="I40">
        <v>3.15</v>
      </c>
      <c r="J40">
        <v>3.58</v>
      </c>
      <c r="K40">
        <v>9</v>
      </c>
      <c r="L40">
        <v>86</v>
      </c>
      <c r="M40">
        <v>5800</v>
      </c>
      <c r="N40">
        <v>27</v>
      </c>
      <c r="O40">
        <v>33</v>
      </c>
      <c r="P40">
        <v>9095</v>
      </c>
      <c r="Q40" t="s">
        <v>0</v>
      </c>
      <c r="R40" t="s">
        <v>1</v>
      </c>
      <c r="S40" t="s">
        <v>2</v>
      </c>
      <c r="T40" t="s">
        <v>6</v>
      </c>
      <c r="U40" t="s">
        <v>4</v>
      </c>
    </row>
    <row r="41" spans="1:21">
      <c r="A41">
        <v>40</v>
      </c>
      <c r="B41">
        <v>0</v>
      </c>
      <c r="C41">
        <v>96.5</v>
      </c>
      <c r="D41">
        <v>175.4</v>
      </c>
      <c r="E41">
        <v>65.2</v>
      </c>
      <c r="F41">
        <v>54.1</v>
      </c>
      <c r="G41">
        <v>2304</v>
      </c>
      <c r="H41">
        <v>110</v>
      </c>
      <c r="I41">
        <v>3.15</v>
      </c>
      <c r="J41">
        <v>3.58</v>
      </c>
      <c r="K41">
        <v>9</v>
      </c>
      <c r="L41">
        <v>86</v>
      </c>
      <c r="M41">
        <v>5800</v>
      </c>
      <c r="N41">
        <v>27</v>
      </c>
      <c r="O41">
        <v>33</v>
      </c>
      <c r="P41">
        <v>8845</v>
      </c>
      <c r="Q41" t="s">
        <v>0</v>
      </c>
      <c r="R41" t="s">
        <v>1</v>
      </c>
      <c r="S41" t="s">
        <v>5</v>
      </c>
      <c r="T41" t="s">
        <v>6</v>
      </c>
      <c r="U41" t="s">
        <v>4</v>
      </c>
    </row>
    <row r="42" spans="1:21">
      <c r="A42">
        <v>41</v>
      </c>
      <c r="B42">
        <v>0</v>
      </c>
      <c r="C42">
        <v>96.5</v>
      </c>
      <c r="D42">
        <v>175.4</v>
      </c>
      <c r="E42">
        <v>62.5</v>
      </c>
      <c r="F42">
        <v>54.1</v>
      </c>
      <c r="G42">
        <v>2372</v>
      </c>
      <c r="H42">
        <v>110</v>
      </c>
      <c r="I42">
        <v>3.15</v>
      </c>
      <c r="J42">
        <v>3.58</v>
      </c>
      <c r="K42">
        <v>9</v>
      </c>
      <c r="L42">
        <v>86</v>
      </c>
      <c r="M42">
        <v>5800</v>
      </c>
      <c r="N42">
        <v>27</v>
      </c>
      <c r="O42">
        <v>33</v>
      </c>
      <c r="P42">
        <v>10295</v>
      </c>
      <c r="Q42" t="s">
        <v>0</v>
      </c>
      <c r="R42" t="s">
        <v>1</v>
      </c>
      <c r="S42" t="s">
        <v>5</v>
      </c>
      <c r="T42" t="s">
        <v>6</v>
      </c>
      <c r="U42" t="s">
        <v>4</v>
      </c>
    </row>
    <row r="43" spans="1:21">
      <c r="A43">
        <v>42</v>
      </c>
      <c r="B43">
        <v>0</v>
      </c>
      <c r="C43">
        <v>96.5</v>
      </c>
      <c r="D43">
        <v>175.4</v>
      </c>
      <c r="E43">
        <v>65.2</v>
      </c>
      <c r="F43">
        <v>54.1</v>
      </c>
      <c r="G43">
        <v>2465</v>
      </c>
      <c r="H43">
        <v>110</v>
      </c>
      <c r="I43">
        <v>3.15</v>
      </c>
      <c r="J43">
        <v>3.58</v>
      </c>
      <c r="K43">
        <v>9</v>
      </c>
      <c r="L43">
        <v>101</v>
      </c>
      <c r="M43">
        <v>5800</v>
      </c>
      <c r="N43">
        <v>24</v>
      </c>
      <c r="O43">
        <v>28</v>
      </c>
      <c r="P43">
        <v>12945</v>
      </c>
      <c r="Q43" t="s">
        <v>0</v>
      </c>
      <c r="R43" t="s">
        <v>1</v>
      </c>
      <c r="S43" t="s">
        <v>5</v>
      </c>
      <c r="T43" t="s">
        <v>6</v>
      </c>
      <c r="U43" t="s">
        <v>4</v>
      </c>
    </row>
    <row r="44" spans="1:21">
      <c r="A44">
        <v>43</v>
      </c>
      <c r="B44">
        <v>1</v>
      </c>
      <c r="C44">
        <v>96.5</v>
      </c>
      <c r="D44">
        <v>169.1</v>
      </c>
      <c r="E44">
        <v>66</v>
      </c>
      <c r="F44">
        <v>51</v>
      </c>
      <c r="G44">
        <v>2293</v>
      </c>
      <c r="H44">
        <v>110</v>
      </c>
      <c r="I44">
        <v>3.15</v>
      </c>
      <c r="J44">
        <v>3.58</v>
      </c>
      <c r="K44">
        <v>9.1</v>
      </c>
      <c r="L44">
        <v>100</v>
      </c>
      <c r="M44">
        <v>5500</v>
      </c>
      <c r="N44">
        <v>25</v>
      </c>
      <c r="O44">
        <v>31</v>
      </c>
      <c r="P44">
        <v>10345</v>
      </c>
      <c r="Q44" t="s">
        <v>0</v>
      </c>
      <c r="R44" t="s">
        <v>1</v>
      </c>
      <c r="S44" t="s">
        <v>2</v>
      </c>
      <c r="T44" t="s">
        <v>6</v>
      </c>
      <c r="U44" t="s">
        <v>4</v>
      </c>
    </row>
    <row r="45" spans="1:21">
      <c r="A45">
        <v>44</v>
      </c>
      <c r="B45">
        <v>0</v>
      </c>
      <c r="C45">
        <v>94.3</v>
      </c>
      <c r="D45">
        <v>170.7</v>
      </c>
      <c r="E45">
        <v>61.8</v>
      </c>
      <c r="F45">
        <v>53.5</v>
      </c>
      <c r="G45">
        <v>2337</v>
      </c>
      <c r="H45">
        <v>111</v>
      </c>
      <c r="I45">
        <v>3.31</v>
      </c>
      <c r="J45">
        <v>3.23</v>
      </c>
      <c r="K45">
        <v>8.5</v>
      </c>
      <c r="L45">
        <v>78</v>
      </c>
      <c r="M45">
        <v>4800</v>
      </c>
      <c r="N45">
        <v>24</v>
      </c>
      <c r="O45">
        <v>29</v>
      </c>
      <c r="P45">
        <v>6785</v>
      </c>
      <c r="Q45" t="s">
        <v>0</v>
      </c>
      <c r="R45" t="s">
        <v>1</v>
      </c>
      <c r="S45" t="s">
        <v>5</v>
      </c>
      <c r="T45" t="s">
        <v>3</v>
      </c>
      <c r="U45" t="s">
        <v>4</v>
      </c>
    </row>
    <row r="46" spans="1:21">
      <c r="A46">
        <v>45</v>
      </c>
      <c r="B46">
        <v>1</v>
      </c>
      <c r="C46">
        <v>94.5</v>
      </c>
      <c r="D46">
        <v>155.9</v>
      </c>
      <c r="E46">
        <v>63.6</v>
      </c>
      <c r="F46">
        <v>52</v>
      </c>
      <c r="G46">
        <v>1874</v>
      </c>
      <c r="H46">
        <v>90</v>
      </c>
      <c r="I46">
        <v>3.03</v>
      </c>
      <c r="J46">
        <v>3.11</v>
      </c>
      <c r="K46">
        <v>9.6</v>
      </c>
      <c r="L46">
        <v>70</v>
      </c>
      <c r="M46">
        <v>5400</v>
      </c>
      <c r="N46">
        <v>38</v>
      </c>
      <c r="O46">
        <v>43</v>
      </c>
      <c r="P46">
        <v>8916.5</v>
      </c>
      <c r="Q46" t="s">
        <v>0</v>
      </c>
      <c r="R46" t="s">
        <v>1</v>
      </c>
      <c r="S46" t="s">
        <v>2</v>
      </c>
      <c r="T46" t="s">
        <v>6</v>
      </c>
      <c r="U46" t="s">
        <v>4</v>
      </c>
    </row>
    <row r="47" spans="1:21">
      <c r="A47">
        <v>46</v>
      </c>
      <c r="B47">
        <v>0</v>
      </c>
      <c r="C47">
        <v>94.5</v>
      </c>
      <c r="D47">
        <v>155.9</v>
      </c>
      <c r="E47">
        <v>63.6</v>
      </c>
      <c r="F47">
        <v>52</v>
      </c>
      <c r="G47">
        <v>1909</v>
      </c>
      <c r="H47">
        <v>90</v>
      </c>
      <c r="I47">
        <v>3.03</v>
      </c>
      <c r="J47">
        <v>3.11</v>
      </c>
      <c r="K47">
        <v>9.6</v>
      </c>
      <c r="L47">
        <v>70</v>
      </c>
      <c r="M47">
        <v>5400</v>
      </c>
      <c r="N47">
        <v>38</v>
      </c>
      <c r="O47">
        <v>43</v>
      </c>
      <c r="P47">
        <v>8916.5</v>
      </c>
      <c r="Q47" t="s">
        <v>0</v>
      </c>
      <c r="R47" t="s">
        <v>1</v>
      </c>
      <c r="S47" t="s">
        <v>5</v>
      </c>
      <c r="T47" t="s">
        <v>6</v>
      </c>
      <c r="U47" t="s">
        <v>4</v>
      </c>
    </row>
    <row r="48" spans="1:21">
      <c r="A48">
        <v>47</v>
      </c>
      <c r="B48">
        <v>2</v>
      </c>
      <c r="C48">
        <v>96</v>
      </c>
      <c r="D48">
        <v>172.6</v>
      </c>
      <c r="E48">
        <v>65.2</v>
      </c>
      <c r="F48">
        <v>51.4</v>
      </c>
      <c r="G48">
        <v>2734</v>
      </c>
      <c r="H48">
        <v>119</v>
      </c>
      <c r="I48">
        <v>3.43</v>
      </c>
      <c r="J48">
        <v>3.23</v>
      </c>
      <c r="K48">
        <v>9.1999999999999993</v>
      </c>
      <c r="L48">
        <v>90</v>
      </c>
      <c r="M48">
        <v>5000</v>
      </c>
      <c r="N48">
        <v>24</v>
      </c>
      <c r="O48">
        <v>29</v>
      </c>
      <c r="P48">
        <v>11048</v>
      </c>
      <c r="Q48" t="s">
        <v>0</v>
      </c>
      <c r="R48" t="s">
        <v>1</v>
      </c>
      <c r="S48" t="s">
        <v>2</v>
      </c>
      <c r="T48" t="s">
        <v>3</v>
      </c>
      <c r="U48" t="s">
        <v>4</v>
      </c>
    </row>
    <row r="49" spans="1:21">
      <c r="A49">
        <v>48</v>
      </c>
      <c r="B49">
        <v>0</v>
      </c>
      <c r="C49">
        <v>113</v>
      </c>
      <c r="D49">
        <v>199.6</v>
      </c>
      <c r="E49">
        <v>69.599999999999994</v>
      </c>
      <c r="F49">
        <v>52.8</v>
      </c>
      <c r="G49">
        <v>4066</v>
      </c>
      <c r="H49">
        <v>258</v>
      </c>
      <c r="I49">
        <v>3.63</v>
      </c>
      <c r="J49">
        <v>4.17</v>
      </c>
      <c r="K49">
        <v>8.1</v>
      </c>
      <c r="L49">
        <v>176</v>
      </c>
      <c r="M49">
        <v>4750</v>
      </c>
      <c r="N49">
        <v>15</v>
      </c>
      <c r="O49">
        <v>19</v>
      </c>
      <c r="P49">
        <v>32250</v>
      </c>
      <c r="Q49" t="s">
        <v>0</v>
      </c>
      <c r="R49" t="s">
        <v>1</v>
      </c>
      <c r="S49" t="s">
        <v>5</v>
      </c>
      <c r="T49" t="s">
        <v>3</v>
      </c>
      <c r="U49" t="s">
        <v>4</v>
      </c>
    </row>
    <row r="50" spans="1:21">
      <c r="A50">
        <v>49</v>
      </c>
      <c r="B50">
        <v>0</v>
      </c>
      <c r="C50">
        <v>113</v>
      </c>
      <c r="D50">
        <v>199.6</v>
      </c>
      <c r="E50">
        <v>69.599999999999994</v>
      </c>
      <c r="F50">
        <v>52.8</v>
      </c>
      <c r="G50">
        <v>4066</v>
      </c>
      <c r="H50">
        <v>258</v>
      </c>
      <c r="I50">
        <v>3.63</v>
      </c>
      <c r="J50">
        <v>4.17</v>
      </c>
      <c r="K50">
        <v>8.1</v>
      </c>
      <c r="L50">
        <v>176</v>
      </c>
      <c r="M50">
        <v>4750</v>
      </c>
      <c r="N50">
        <v>15</v>
      </c>
      <c r="O50">
        <v>19</v>
      </c>
      <c r="P50">
        <v>35550</v>
      </c>
      <c r="Q50" t="s">
        <v>0</v>
      </c>
      <c r="R50" t="s">
        <v>1</v>
      </c>
      <c r="S50" t="s">
        <v>5</v>
      </c>
      <c r="T50" t="s">
        <v>3</v>
      </c>
      <c r="U50" t="s">
        <v>4</v>
      </c>
    </row>
    <row r="51" spans="1:21">
      <c r="A51">
        <v>50</v>
      </c>
      <c r="B51">
        <v>0</v>
      </c>
      <c r="C51">
        <v>102</v>
      </c>
      <c r="D51">
        <v>191.7</v>
      </c>
      <c r="E51">
        <v>70.599999999999994</v>
      </c>
      <c r="F51">
        <v>47.8</v>
      </c>
      <c r="G51">
        <v>3950</v>
      </c>
      <c r="H51">
        <v>326</v>
      </c>
      <c r="I51">
        <v>3.54</v>
      </c>
      <c r="J51">
        <v>2.76</v>
      </c>
      <c r="K51">
        <v>11.5</v>
      </c>
      <c r="L51">
        <v>262</v>
      </c>
      <c r="M51">
        <v>5000</v>
      </c>
      <c r="N51">
        <v>13</v>
      </c>
      <c r="O51">
        <v>17</v>
      </c>
      <c r="P51">
        <v>36000</v>
      </c>
      <c r="Q51" t="s">
        <v>0</v>
      </c>
      <c r="R51" t="s">
        <v>1</v>
      </c>
      <c r="S51" t="s">
        <v>2</v>
      </c>
      <c r="T51" t="s">
        <v>3</v>
      </c>
      <c r="U51" t="s">
        <v>4</v>
      </c>
    </row>
    <row r="52" spans="1:21">
      <c r="A52">
        <v>51</v>
      </c>
      <c r="B52">
        <v>1</v>
      </c>
      <c r="C52">
        <v>93.1</v>
      </c>
      <c r="D52">
        <v>159.1</v>
      </c>
      <c r="E52">
        <v>64.2</v>
      </c>
      <c r="F52">
        <v>54.1</v>
      </c>
      <c r="G52">
        <v>1890</v>
      </c>
      <c r="H52">
        <v>91</v>
      </c>
      <c r="I52">
        <v>3.03</v>
      </c>
      <c r="J52">
        <v>3.15</v>
      </c>
      <c r="K52">
        <v>9</v>
      </c>
      <c r="L52">
        <v>68</v>
      </c>
      <c r="M52">
        <v>5000</v>
      </c>
      <c r="N52">
        <v>30</v>
      </c>
      <c r="O52">
        <v>31</v>
      </c>
      <c r="P52">
        <v>5195</v>
      </c>
      <c r="Q52" t="s">
        <v>0</v>
      </c>
      <c r="R52" t="s">
        <v>1</v>
      </c>
      <c r="S52" t="s">
        <v>2</v>
      </c>
      <c r="T52" t="s">
        <v>6</v>
      </c>
      <c r="U52" t="s">
        <v>4</v>
      </c>
    </row>
    <row r="53" spans="1:21">
      <c r="A53">
        <v>52</v>
      </c>
      <c r="B53">
        <v>1</v>
      </c>
      <c r="C53">
        <v>93.1</v>
      </c>
      <c r="D53">
        <v>159.1</v>
      </c>
      <c r="E53">
        <v>64.2</v>
      </c>
      <c r="F53">
        <v>54.1</v>
      </c>
      <c r="G53">
        <v>1900</v>
      </c>
      <c r="H53">
        <v>91</v>
      </c>
      <c r="I53">
        <v>3.03</v>
      </c>
      <c r="J53">
        <v>3.15</v>
      </c>
      <c r="K53">
        <v>9</v>
      </c>
      <c r="L53">
        <v>68</v>
      </c>
      <c r="M53">
        <v>5000</v>
      </c>
      <c r="N53">
        <v>31</v>
      </c>
      <c r="O53">
        <v>38</v>
      </c>
      <c r="P53">
        <v>6095</v>
      </c>
      <c r="Q53" t="s">
        <v>0</v>
      </c>
      <c r="R53" t="s">
        <v>1</v>
      </c>
      <c r="S53" t="s">
        <v>2</v>
      </c>
      <c r="T53" t="s">
        <v>6</v>
      </c>
      <c r="U53" t="s">
        <v>4</v>
      </c>
    </row>
    <row r="54" spans="1:21">
      <c r="A54">
        <v>53</v>
      </c>
      <c r="B54">
        <v>1</v>
      </c>
      <c r="C54">
        <v>93.1</v>
      </c>
      <c r="D54">
        <v>159.1</v>
      </c>
      <c r="E54">
        <v>64.2</v>
      </c>
      <c r="F54">
        <v>54.1</v>
      </c>
      <c r="G54">
        <v>1905</v>
      </c>
      <c r="H54">
        <v>91</v>
      </c>
      <c r="I54">
        <v>3.03</v>
      </c>
      <c r="J54">
        <v>3.15</v>
      </c>
      <c r="K54">
        <v>9</v>
      </c>
      <c r="L54">
        <v>68</v>
      </c>
      <c r="M54">
        <v>5000</v>
      </c>
      <c r="N54">
        <v>31</v>
      </c>
      <c r="O54">
        <v>38</v>
      </c>
      <c r="P54">
        <v>6795</v>
      </c>
      <c r="Q54" t="s">
        <v>0</v>
      </c>
      <c r="R54" t="s">
        <v>1</v>
      </c>
      <c r="S54" t="s">
        <v>2</v>
      </c>
      <c r="T54" t="s">
        <v>6</v>
      </c>
      <c r="U54" t="s">
        <v>4</v>
      </c>
    </row>
    <row r="55" spans="1:21">
      <c r="A55">
        <v>54</v>
      </c>
      <c r="B55">
        <v>1</v>
      </c>
      <c r="C55">
        <v>93.1</v>
      </c>
      <c r="D55">
        <v>166.8</v>
      </c>
      <c r="E55">
        <v>64.2</v>
      </c>
      <c r="F55">
        <v>54.1</v>
      </c>
      <c r="G55">
        <v>1945</v>
      </c>
      <c r="H55">
        <v>91</v>
      </c>
      <c r="I55">
        <v>3.03</v>
      </c>
      <c r="J55">
        <v>3.15</v>
      </c>
      <c r="K55">
        <v>9</v>
      </c>
      <c r="L55">
        <v>68</v>
      </c>
      <c r="M55">
        <v>5000</v>
      </c>
      <c r="N55">
        <v>31</v>
      </c>
      <c r="O55">
        <v>38</v>
      </c>
      <c r="P55">
        <v>6695</v>
      </c>
      <c r="Q55" t="s">
        <v>0</v>
      </c>
      <c r="R55" t="s">
        <v>1</v>
      </c>
      <c r="S55" t="s">
        <v>5</v>
      </c>
      <c r="T55" t="s">
        <v>6</v>
      </c>
      <c r="U55" t="s">
        <v>4</v>
      </c>
    </row>
    <row r="56" spans="1:21">
      <c r="A56">
        <v>55</v>
      </c>
      <c r="B56">
        <v>1</v>
      </c>
      <c r="C56">
        <v>93.1</v>
      </c>
      <c r="D56">
        <v>166.8</v>
      </c>
      <c r="E56">
        <v>64.2</v>
      </c>
      <c r="F56">
        <v>54.1</v>
      </c>
      <c r="G56">
        <v>1950</v>
      </c>
      <c r="H56">
        <v>91</v>
      </c>
      <c r="I56">
        <v>3.08</v>
      </c>
      <c r="J56">
        <v>3.15</v>
      </c>
      <c r="K56">
        <v>9</v>
      </c>
      <c r="L56">
        <v>68</v>
      </c>
      <c r="M56">
        <v>5000</v>
      </c>
      <c r="N56">
        <v>31</v>
      </c>
      <c r="O56">
        <v>38</v>
      </c>
      <c r="P56">
        <v>7395</v>
      </c>
      <c r="Q56" t="s">
        <v>0</v>
      </c>
      <c r="R56" t="s">
        <v>1</v>
      </c>
      <c r="S56" t="s">
        <v>5</v>
      </c>
      <c r="T56" t="s">
        <v>6</v>
      </c>
      <c r="U56" t="s">
        <v>4</v>
      </c>
    </row>
    <row r="57" spans="1:21">
      <c r="A57">
        <v>56</v>
      </c>
      <c r="B57">
        <v>3</v>
      </c>
      <c r="C57">
        <v>95.3</v>
      </c>
      <c r="D57">
        <v>169</v>
      </c>
      <c r="E57">
        <v>65.7</v>
      </c>
      <c r="F57">
        <v>49.6</v>
      </c>
      <c r="G57">
        <v>2380</v>
      </c>
      <c r="H57">
        <v>70</v>
      </c>
      <c r="I57">
        <v>3.33</v>
      </c>
      <c r="J57">
        <v>3.2549999999999999</v>
      </c>
      <c r="K57">
        <v>9.4</v>
      </c>
      <c r="L57">
        <v>101</v>
      </c>
      <c r="M57">
        <v>6000</v>
      </c>
      <c r="N57">
        <v>17</v>
      </c>
      <c r="O57">
        <v>23</v>
      </c>
      <c r="P57">
        <v>10945</v>
      </c>
      <c r="Q57" t="s">
        <v>0</v>
      </c>
      <c r="R57" t="s">
        <v>1</v>
      </c>
      <c r="S57" t="s">
        <v>2</v>
      </c>
      <c r="T57" t="s">
        <v>3</v>
      </c>
      <c r="U57" t="s">
        <v>4</v>
      </c>
    </row>
    <row r="58" spans="1:21">
      <c r="A58">
        <v>57</v>
      </c>
      <c r="B58">
        <v>3</v>
      </c>
      <c r="C58">
        <v>95.3</v>
      </c>
      <c r="D58">
        <v>169</v>
      </c>
      <c r="E58">
        <v>65.7</v>
      </c>
      <c r="F58">
        <v>49.6</v>
      </c>
      <c r="G58">
        <v>2380</v>
      </c>
      <c r="H58">
        <v>70</v>
      </c>
      <c r="I58">
        <v>3.33</v>
      </c>
      <c r="J58">
        <v>3.2549999999999999</v>
      </c>
      <c r="K58">
        <v>9.4</v>
      </c>
      <c r="L58">
        <v>101</v>
      </c>
      <c r="M58">
        <v>6000</v>
      </c>
      <c r="N58">
        <v>17</v>
      </c>
      <c r="O58">
        <v>23</v>
      </c>
      <c r="P58">
        <v>11845</v>
      </c>
      <c r="Q58" t="s">
        <v>0</v>
      </c>
      <c r="R58" t="s">
        <v>1</v>
      </c>
      <c r="S58" t="s">
        <v>2</v>
      </c>
      <c r="T58" t="s">
        <v>3</v>
      </c>
      <c r="U58" t="s">
        <v>4</v>
      </c>
    </row>
    <row r="59" spans="1:21">
      <c r="A59">
        <v>58</v>
      </c>
      <c r="B59">
        <v>3</v>
      </c>
      <c r="C59">
        <v>95.3</v>
      </c>
      <c r="D59">
        <v>169</v>
      </c>
      <c r="E59">
        <v>65.7</v>
      </c>
      <c r="F59">
        <v>49.6</v>
      </c>
      <c r="G59">
        <v>2385</v>
      </c>
      <c r="H59">
        <v>70</v>
      </c>
      <c r="I59">
        <v>3.33</v>
      </c>
      <c r="J59">
        <v>3.2549999999999999</v>
      </c>
      <c r="K59">
        <v>9.4</v>
      </c>
      <c r="L59">
        <v>101</v>
      </c>
      <c r="M59">
        <v>6000</v>
      </c>
      <c r="N59">
        <v>17</v>
      </c>
      <c r="O59">
        <v>23</v>
      </c>
      <c r="P59">
        <v>13645</v>
      </c>
      <c r="Q59" t="s">
        <v>0</v>
      </c>
      <c r="R59" t="s">
        <v>1</v>
      </c>
      <c r="S59" t="s">
        <v>2</v>
      </c>
      <c r="T59" t="s">
        <v>3</v>
      </c>
      <c r="U59" t="s">
        <v>4</v>
      </c>
    </row>
    <row r="60" spans="1:21">
      <c r="A60">
        <v>59</v>
      </c>
      <c r="B60">
        <v>3</v>
      </c>
      <c r="C60">
        <v>95.3</v>
      </c>
      <c r="D60">
        <v>169</v>
      </c>
      <c r="E60">
        <v>65.7</v>
      </c>
      <c r="F60">
        <v>49.6</v>
      </c>
      <c r="G60">
        <v>2500</v>
      </c>
      <c r="H60">
        <v>80</v>
      </c>
      <c r="I60">
        <v>3.33</v>
      </c>
      <c r="J60">
        <v>3.2549999999999999</v>
      </c>
      <c r="K60">
        <v>9.4</v>
      </c>
      <c r="L60">
        <v>135</v>
      </c>
      <c r="M60">
        <v>6000</v>
      </c>
      <c r="N60">
        <v>16</v>
      </c>
      <c r="O60">
        <v>23</v>
      </c>
      <c r="P60">
        <v>15645</v>
      </c>
      <c r="Q60" t="s">
        <v>0</v>
      </c>
      <c r="R60" t="s">
        <v>1</v>
      </c>
      <c r="S60" t="s">
        <v>2</v>
      </c>
      <c r="T60" t="s">
        <v>3</v>
      </c>
      <c r="U60" t="s">
        <v>4</v>
      </c>
    </row>
    <row r="61" spans="1:21">
      <c r="A61">
        <v>60</v>
      </c>
      <c r="B61">
        <v>1</v>
      </c>
      <c r="C61">
        <v>98.8</v>
      </c>
      <c r="D61">
        <v>177.8</v>
      </c>
      <c r="E61">
        <v>66.5</v>
      </c>
      <c r="F61">
        <v>53.7</v>
      </c>
      <c r="G61">
        <v>2385</v>
      </c>
      <c r="H61">
        <v>122</v>
      </c>
      <c r="I61">
        <v>3.39</v>
      </c>
      <c r="J61">
        <v>3.39</v>
      </c>
      <c r="K61">
        <v>8.6</v>
      </c>
      <c r="L61">
        <v>84</v>
      </c>
      <c r="M61">
        <v>4800</v>
      </c>
      <c r="N61">
        <v>26</v>
      </c>
      <c r="O61">
        <v>32</v>
      </c>
      <c r="P61">
        <v>8845</v>
      </c>
      <c r="Q61" t="s">
        <v>0</v>
      </c>
      <c r="R61" t="s">
        <v>1</v>
      </c>
      <c r="S61" t="s">
        <v>2</v>
      </c>
      <c r="T61" t="s">
        <v>6</v>
      </c>
      <c r="U61" t="s">
        <v>4</v>
      </c>
    </row>
    <row r="62" spans="1:21">
      <c r="A62">
        <v>61</v>
      </c>
      <c r="B62">
        <v>0</v>
      </c>
      <c r="C62">
        <v>98.8</v>
      </c>
      <c r="D62">
        <v>177.8</v>
      </c>
      <c r="E62">
        <v>66.5</v>
      </c>
      <c r="F62">
        <v>55.5</v>
      </c>
      <c r="G62">
        <v>2410</v>
      </c>
      <c r="H62">
        <v>122</v>
      </c>
      <c r="I62">
        <v>3.39</v>
      </c>
      <c r="J62">
        <v>3.39</v>
      </c>
      <c r="K62">
        <v>8.6</v>
      </c>
      <c r="L62">
        <v>84</v>
      </c>
      <c r="M62">
        <v>4800</v>
      </c>
      <c r="N62">
        <v>26</v>
      </c>
      <c r="O62">
        <v>32</v>
      </c>
      <c r="P62">
        <v>8495</v>
      </c>
      <c r="Q62" t="s">
        <v>0</v>
      </c>
      <c r="R62" t="s">
        <v>1</v>
      </c>
      <c r="S62" t="s">
        <v>5</v>
      </c>
      <c r="T62" t="s">
        <v>6</v>
      </c>
      <c r="U62" t="s">
        <v>4</v>
      </c>
    </row>
    <row r="63" spans="1:21">
      <c r="A63">
        <v>62</v>
      </c>
      <c r="B63">
        <v>1</v>
      </c>
      <c r="C63">
        <v>98.8</v>
      </c>
      <c r="D63">
        <v>177.8</v>
      </c>
      <c r="E63">
        <v>66.5</v>
      </c>
      <c r="F63">
        <v>53.7</v>
      </c>
      <c r="G63">
        <v>2385</v>
      </c>
      <c r="H63">
        <v>122</v>
      </c>
      <c r="I63">
        <v>3.39</v>
      </c>
      <c r="J63">
        <v>3.39</v>
      </c>
      <c r="K63">
        <v>8.6</v>
      </c>
      <c r="L63">
        <v>84</v>
      </c>
      <c r="M63">
        <v>4800</v>
      </c>
      <c r="N63">
        <v>26</v>
      </c>
      <c r="O63">
        <v>32</v>
      </c>
      <c r="P63">
        <v>10595</v>
      </c>
      <c r="Q63" t="s">
        <v>0</v>
      </c>
      <c r="R63" t="s">
        <v>1</v>
      </c>
      <c r="S63" t="s">
        <v>2</v>
      </c>
      <c r="T63" t="s">
        <v>6</v>
      </c>
      <c r="U63" t="s">
        <v>4</v>
      </c>
    </row>
    <row r="64" spans="1:21">
      <c r="A64">
        <v>63</v>
      </c>
      <c r="B64">
        <v>0</v>
      </c>
      <c r="C64">
        <v>98.8</v>
      </c>
      <c r="D64">
        <v>177.8</v>
      </c>
      <c r="E64">
        <v>66.5</v>
      </c>
      <c r="F64">
        <v>55.5</v>
      </c>
      <c r="G64">
        <v>2410</v>
      </c>
      <c r="H64">
        <v>122</v>
      </c>
      <c r="I64">
        <v>3.39</v>
      </c>
      <c r="J64">
        <v>3.39</v>
      </c>
      <c r="K64">
        <v>8.6</v>
      </c>
      <c r="L64">
        <v>84</v>
      </c>
      <c r="M64">
        <v>4800</v>
      </c>
      <c r="N64">
        <v>26</v>
      </c>
      <c r="O64">
        <v>32</v>
      </c>
      <c r="P64">
        <v>10245</v>
      </c>
      <c r="Q64" t="s">
        <v>0</v>
      </c>
      <c r="R64" t="s">
        <v>1</v>
      </c>
      <c r="S64" t="s">
        <v>5</v>
      </c>
      <c r="T64" t="s">
        <v>6</v>
      </c>
      <c r="U64" t="s">
        <v>4</v>
      </c>
    </row>
    <row r="65" spans="1:21">
      <c r="A65">
        <v>64</v>
      </c>
      <c r="B65">
        <v>0</v>
      </c>
      <c r="C65">
        <v>98.8</v>
      </c>
      <c r="D65">
        <v>177.8</v>
      </c>
      <c r="E65">
        <v>66.5</v>
      </c>
      <c r="F65">
        <v>55.5</v>
      </c>
      <c r="G65">
        <v>2443</v>
      </c>
      <c r="H65">
        <v>122</v>
      </c>
      <c r="I65">
        <v>3.39</v>
      </c>
      <c r="J65">
        <v>3.39</v>
      </c>
      <c r="K65">
        <v>22.7</v>
      </c>
      <c r="L65">
        <v>64</v>
      </c>
      <c r="M65">
        <v>4650</v>
      </c>
      <c r="N65">
        <v>36</v>
      </c>
      <c r="O65">
        <v>42</v>
      </c>
      <c r="P65">
        <v>10795</v>
      </c>
      <c r="Q65" t="s">
        <v>9</v>
      </c>
      <c r="R65" t="s">
        <v>1</v>
      </c>
      <c r="S65" t="s">
        <v>5</v>
      </c>
      <c r="T65" t="s">
        <v>6</v>
      </c>
      <c r="U65" t="s">
        <v>4</v>
      </c>
    </row>
    <row r="66" spans="1:21">
      <c r="A66">
        <v>65</v>
      </c>
      <c r="B66">
        <v>0</v>
      </c>
      <c r="C66">
        <v>98.8</v>
      </c>
      <c r="D66">
        <v>177.8</v>
      </c>
      <c r="E66">
        <v>66.5</v>
      </c>
      <c r="F66">
        <v>55.5</v>
      </c>
      <c r="G66">
        <v>2425</v>
      </c>
      <c r="H66">
        <v>122</v>
      </c>
      <c r="I66">
        <v>3.39</v>
      </c>
      <c r="J66">
        <v>3.39</v>
      </c>
      <c r="K66">
        <v>8.6</v>
      </c>
      <c r="L66">
        <v>84</v>
      </c>
      <c r="M66">
        <v>4800</v>
      </c>
      <c r="N66">
        <v>26</v>
      </c>
      <c r="O66">
        <v>32</v>
      </c>
      <c r="P66">
        <v>11245</v>
      </c>
      <c r="Q66" t="s">
        <v>0</v>
      </c>
      <c r="R66" t="s">
        <v>1</v>
      </c>
      <c r="S66" t="s">
        <v>5</v>
      </c>
      <c r="T66" t="s">
        <v>6</v>
      </c>
      <c r="U66" t="s">
        <v>4</v>
      </c>
    </row>
    <row r="67" spans="1:21">
      <c r="A67">
        <v>66</v>
      </c>
      <c r="B67">
        <v>0</v>
      </c>
      <c r="C67">
        <v>104.9</v>
      </c>
      <c r="D67">
        <v>175</v>
      </c>
      <c r="E67">
        <v>66.099999999999994</v>
      </c>
      <c r="F67">
        <v>54.4</v>
      </c>
      <c r="G67">
        <v>2670</v>
      </c>
      <c r="H67">
        <v>140</v>
      </c>
      <c r="I67">
        <v>3.76</v>
      </c>
      <c r="J67">
        <v>3.16</v>
      </c>
      <c r="K67">
        <v>8</v>
      </c>
      <c r="L67">
        <v>120</v>
      </c>
      <c r="M67">
        <v>5000</v>
      </c>
      <c r="N67">
        <v>19</v>
      </c>
      <c r="O67">
        <v>27</v>
      </c>
      <c r="P67">
        <v>18280</v>
      </c>
      <c r="Q67" t="s">
        <v>0</v>
      </c>
      <c r="R67" t="s">
        <v>1</v>
      </c>
      <c r="S67" t="s">
        <v>5</v>
      </c>
      <c r="T67" t="s">
        <v>3</v>
      </c>
      <c r="U67" t="s">
        <v>4</v>
      </c>
    </row>
    <row r="68" spans="1:21">
      <c r="A68">
        <v>67</v>
      </c>
      <c r="B68">
        <v>0</v>
      </c>
      <c r="C68">
        <v>104.9</v>
      </c>
      <c r="D68">
        <v>175</v>
      </c>
      <c r="E68">
        <v>66.099999999999994</v>
      </c>
      <c r="F68">
        <v>54.4</v>
      </c>
      <c r="G68">
        <v>2700</v>
      </c>
      <c r="H68">
        <v>134</v>
      </c>
      <c r="I68">
        <v>3.43</v>
      </c>
      <c r="J68">
        <v>3.64</v>
      </c>
      <c r="K68">
        <v>22</v>
      </c>
      <c r="L68">
        <v>72</v>
      </c>
      <c r="M68">
        <v>4200</v>
      </c>
      <c r="N68">
        <v>31</v>
      </c>
      <c r="O68">
        <v>39</v>
      </c>
      <c r="P68">
        <v>18344</v>
      </c>
      <c r="Q68" t="s">
        <v>9</v>
      </c>
      <c r="R68" t="s">
        <v>1</v>
      </c>
      <c r="S68" t="s">
        <v>5</v>
      </c>
      <c r="T68" t="s">
        <v>3</v>
      </c>
      <c r="U68" t="s">
        <v>4</v>
      </c>
    </row>
    <row r="69" spans="1:21">
      <c r="A69">
        <v>68</v>
      </c>
      <c r="B69">
        <v>-1</v>
      </c>
      <c r="C69">
        <v>110</v>
      </c>
      <c r="D69">
        <v>190.9</v>
      </c>
      <c r="E69">
        <v>70.3</v>
      </c>
      <c r="F69">
        <v>56.5</v>
      </c>
      <c r="G69">
        <v>3515</v>
      </c>
      <c r="H69">
        <v>183</v>
      </c>
      <c r="I69">
        <v>3.58</v>
      </c>
      <c r="J69">
        <v>3.64</v>
      </c>
      <c r="K69">
        <v>21.5</v>
      </c>
      <c r="L69">
        <v>123</v>
      </c>
      <c r="M69">
        <v>4350</v>
      </c>
      <c r="N69">
        <v>22</v>
      </c>
      <c r="O69">
        <v>25</v>
      </c>
      <c r="P69">
        <v>25552</v>
      </c>
      <c r="Q69" t="s">
        <v>9</v>
      </c>
      <c r="R69" t="s">
        <v>8</v>
      </c>
      <c r="S69" t="s">
        <v>5</v>
      </c>
      <c r="T69" t="s">
        <v>3</v>
      </c>
      <c r="U69" t="s">
        <v>4</v>
      </c>
    </row>
    <row r="70" spans="1:21">
      <c r="A70">
        <v>69</v>
      </c>
      <c r="B70">
        <v>-1</v>
      </c>
      <c r="C70">
        <v>110</v>
      </c>
      <c r="D70">
        <v>190.9</v>
      </c>
      <c r="E70">
        <v>70.3</v>
      </c>
      <c r="F70">
        <v>58.7</v>
      </c>
      <c r="G70">
        <v>3750</v>
      </c>
      <c r="H70">
        <v>183</v>
      </c>
      <c r="I70">
        <v>3.58</v>
      </c>
      <c r="J70">
        <v>3.64</v>
      </c>
      <c r="K70">
        <v>21.5</v>
      </c>
      <c r="L70">
        <v>123</v>
      </c>
      <c r="M70">
        <v>4350</v>
      </c>
      <c r="N70">
        <v>22</v>
      </c>
      <c r="O70">
        <v>25</v>
      </c>
      <c r="P70">
        <v>28248</v>
      </c>
      <c r="Q70" t="s">
        <v>9</v>
      </c>
      <c r="R70" t="s">
        <v>8</v>
      </c>
      <c r="S70" t="s">
        <v>5</v>
      </c>
      <c r="T70" t="s">
        <v>3</v>
      </c>
      <c r="U70" t="s">
        <v>4</v>
      </c>
    </row>
    <row r="71" spans="1:21">
      <c r="A71">
        <v>70</v>
      </c>
      <c r="B71">
        <v>0</v>
      </c>
      <c r="C71">
        <v>106.7</v>
      </c>
      <c r="D71">
        <v>187.5</v>
      </c>
      <c r="E71">
        <v>70.3</v>
      </c>
      <c r="F71">
        <v>54.9</v>
      </c>
      <c r="G71">
        <v>3495</v>
      </c>
      <c r="H71">
        <v>183</v>
      </c>
      <c r="I71">
        <v>3.58</v>
      </c>
      <c r="J71">
        <v>3.64</v>
      </c>
      <c r="K71">
        <v>21.5</v>
      </c>
      <c r="L71">
        <v>123</v>
      </c>
      <c r="M71">
        <v>4350</v>
      </c>
      <c r="N71">
        <v>22</v>
      </c>
      <c r="O71">
        <v>25</v>
      </c>
      <c r="P71">
        <v>28176</v>
      </c>
      <c r="Q71" t="s">
        <v>9</v>
      </c>
      <c r="R71" t="s">
        <v>8</v>
      </c>
      <c r="S71" t="s">
        <v>2</v>
      </c>
      <c r="T71" t="s">
        <v>3</v>
      </c>
      <c r="U71" t="s">
        <v>4</v>
      </c>
    </row>
    <row r="72" spans="1:21">
      <c r="A72">
        <v>71</v>
      </c>
      <c r="B72">
        <v>-1</v>
      </c>
      <c r="C72">
        <v>115.6</v>
      </c>
      <c r="D72">
        <v>202.6</v>
      </c>
      <c r="E72">
        <v>71.7</v>
      </c>
      <c r="F72">
        <v>56.3</v>
      </c>
      <c r="G72">
        <v>3770</v>
      </c>
      <c r="H72">
        <v>183</v>
      </c>
      <c r="I72">
        <v>3.58</v>
      </c>
      <c r="J72">
        <v>3.64</v>
      </c>
      <c r="K72">
        <v>21.5</v>
      </c>
      <c r="L72">
        <v>123</v>
      </c>
      <c r="M72">
        <v>4350</v>
      </c>
      <c r="N72">
        <v>22</v>
      </c>
      <c r="O72">
        <v>25</v>
      </c>
      <c r="P72">
        <v>31600</v>
      </c>
      <c r="Q72" t="s">
        <v>9</v>
      </c>
      <c r="R72" t="s">
        <v>8</v>
      </c>
      <c r="S72" t="s">
        <v>5</v>
      </c>
      <c r="T72" t="s">
        <v>3</v>
      </c>
      <c r="U72" t="s">
        <v>4</v>
      </c>
    </row>
    <row r="73" spans="1:21">
      <c r="A73">
        <v>72</v>
      </c>
      <c r="B73">
        <v>-1</v>
      </c>
      <c r="C73">
        <v>115.6</v>
      </c>
      <c r="D73">
        <v>202.6</v>
      </c>
      <c r="E73">
        <v>71.7</v>
      </c>
      <c r="F73">
        <v>56.5</v>
      </c>
      <c r="G73">
        <v>3740</v>
      </c>
      <c r="H73">
        <v>234</v>
      </c>
      <c r="I73">
        <v>3.46</v>
      </c>
      <c r="J73">
        <v>3.1</v>
      </c>
      <c r="K73">
        <v>8.3000000000000007</v>
      </c>
      <c r="L73">
        <v>155</v>
      </c>
      <c r="M73">
        <v>4750</v>
      </c>
      <c r="N73">
        <v>16</v>
      </c>
      <c r="O73">
        <v>18</v>
      </c>
      <c r="P73">
        <v>34184</v>
      </c>
      <c r="Q73" t="s">
        <v>0</v>
      </c>
      <c r="R73" t="s">
        <v>1</v>
      </c>
      <c r="S73" t="s">
        <v>5</v>
      </c>
      <c r="T73" t="s">
        <v>3</v>
      </c>
      <c r="U73" t="s">
        <v>4</v>
      </c>
    </row>
    <row r="74" spans="1:21">
      <c r="A74">
        <v>73</v>
      </c>
      <c r="B74">
        <v>3</v>
      </c>
      <c r="C74">
        <v>96.6</v>
      </c>
      <c r="D74">
        <v>180.3</v>
      </c>
      <c r="E74">
        <v>70.5</v>
      </c>
      <c r="F74">
        <v>50.8</v>
      </c>
      <c r="G74">
        <v>3685</v>
      </c>
      <c r="H74">
        <v>234</v>
      </c>
      <c r="I74">
        <v>3.46</v>
      </c>
      <c r="J74">
        <v>3.1</v>
      </c>
      <c r="K74">
        <v>8.3000000000000007</v>
      </c>
      <c r="L74">
        <v>155</v>
      </c>
      <c r="M74">
        <v>4750</v>
      </c>
      <c r="N74">
        <v>16</v>
      </c>
      <c r="O74">
        <v>18</v>
      </c>
      <c r="P74">
        <v>35056</v>
      </c>
      <c r="Q74" t="s">
        <v>0</v>
      </c>
      <c r="R74" t="s">
        <v>1</v>
      </c>
      <c r="S74" t="s">
        <v>2</v>
      </c>
      <c r="T74" t="s">
        <v>3</v>
      </c>
      <c r="U74" t="s">
        <v>4</v>
      </c>
    </row>
    <row r="75" spans="1:21">
      <c r="A75">
        <v>74</v>
      </c>
      <c r="B75">
        <v>0</v>
      </c>
      <c r="C75">
        <v>120.9</v>
      </c>
      <c r="D75">
        <v>208.1</v>
      </c>
      <c r="E75">
        <v>71.7</v>
      </c>
      <c r="F75">
        <v>56.7</v>
      </c>
      <c r="G75">
        <v>3900</v>
      </c>
      <c r="H75">
        <v>308</v>
      </c>
      <c r="I75">
        <v>3.8</v>
      </c>
      <c r="J75">
        <v>3.35</v>
      </c>
      <c r="K75">
        <v>8</v>
      </c>
      <c r="L75">
        <v>184</v>
      </c>
      <c r="M75">
        <v>4500</v>
      </c>
      <c r="N75">
        <v>14</v>
      </c>
      <c r="O75">
        <v>16</v>
      </c>
      <c r="P75">
        <v>40960</v>
      </c>
      <c r="Q75" t="s">
        <v>0</v>
      </c>
      <c r="R75" t="s">
        <v>1</v>
      </c>
      <c r="S75" t="s">
        <v>5</v>
      </c>
      <c r="T75" t="s">
        <v>3</v>
      </c>
      <c r="U75" t="s">
        <v>4</v>
      </c>
    </row>
    <row r="76" spans="1:21">
      <c r="A76">
        <v>75</v>
      </c>
      <c r="B76">
        <v>1</v>
      </c>
      <c r="C76">
        <v>112</v>
      </c>
      <c r="D76">
        <v>199.2</v>
      </c>
      <c r="E76">
        <v>72</v>
      </c>
      <c r="F76">
        <v>55.4</v>
      </c>
      <c r="G76">
        <v>3715</v>
      </c>
      <c r="H76">
        <v>304</v>
      </c>
      <c r="I76">
        <v>3.8</v>
      </c>
      <c r="J76">
        <v>3.35</v>
      </c>
      <c r="K76">
        <v>8</v>
      </c>
      <c r="L76">
        <v>184</v>
      </c>
      <c r="M76">
        <v>4500</v>
      </c>
      <c r="N76">
        <v>14</v>
      </c>
      <c r="O76">
        <v>16</v>
      </c>
      <c r="P76">
        <v>45400</v>
      </c>
      <c r="Q76" t="s">
        <v>0</v>
      </c>
      <c r="R76" t="s">
        <v>1</v>
      </c>
      <c r="S76" t="s">
        <v>2</v>
      </c>
      <c r="T76" t="s">
        <v>3</v>
      </c>
      <c r="U76" t="s">
        <v>4</v>
      </c>
    </row>
    <row r="77" spans="1:21">
      <c r="A77">
        <v>76</v>
      </c>
      <c r="B77">
        <v>1</v>
      </c>
      <c r="C77">
        <v>102.7</v>
      </c>
      <c r="D77">
        <v>178.4</v>
      </c>
      <c r="E77">
        <v>68</v>
      </c>
      <c r="F77">
        <v>54.8</v>
      </c>
      <c r="G77">
        <v>2910</v>
      </c>
      <c r="H77">
        <v>140</v>
      </c>
      <c r="I77">
        <v>3.78</v>
      </c>
      <c r="J77">
        <v>3.12</v>
      </c>
      <c r="K77">
        <v>8</v>
      </c>
      <c r="L77">
        <v>175</v>
      </c>
      <c r="M77">
        <v>5000</v>
      </c>
      <c r="N77">
        <v>19</v>
      </c>
      <c r="O77">
        <v>24</v>
      </c>
      <c r="P77">
        <v>16503</v>
      </c>
      <c r="Q77" t="s">
        <v>0</v>
      </c>
      <c r="R77" t="s">
        <v>8</v>
      </c>
      <c r="S77" t="s">
        <v>2</v>
      </c>
      <c r="T77" t="s">
        <v>3</v>
      </c>
      <c r="U77" t="s">
        <v>4</v>
      </c>
    </row>
    <row r="78" spans="1:21">
      <c r="A78">
        <v>77</v>
      </c>
      <c r="B78">
        <v>2</v>
      </c>
      <c r="C78">
        <v>93.7</v>
      </c>
      <c r="D78">
        <v>157.30000000000001</v>
      </c>
      <c r="E78">
        <v>64.400000000000006</v>
      </c>
      <c r="F78">
        <v>50.8</v>
      </c>
      <c r="G78">
        <v>1918</v>
      </c>
      <c r="H78">
        <v>92</v>
      </c>
      <c r="I78">
        <v>2.97</v>
      </c>
      <c r="J78">
        <v>3.23</v>
      </c>
      <c r="K78">
        <v>9.4</v>
      </c>
      <c r="L78">
        <v>68</v>
      </c>
      <c r="M78">
        <v>5500</v>
      </c>
      <c r="N78">
        <v>37</v>
      </c>
      <c r="O78">
        <v>41</v>
      </c>
      <c r="P78">
        <v>5389</v>
      </c>
      <c r="Q78" t="s">
        <v>0</v>
      </c>
      <c r="R78" t="s">
        <v>1</v>
      </c>
      <c r="S78" t="s">
        <v>2</v>
      </c>
      <c r="T78" t="s">
        <v>6</v>
      </c>
      <c r="U78" t="s">
        <v>4</v>
      </c>
    </row>
    <row r="79" spans="1:21">
      <c r="A79">
        <v>78</v>
      </c>
      <c r="B79">
        <v>2</v>
      </c>
      <c r="C79">
        <v>93.7</v>
      </c>
      <c r="D79">
        <v>157.30000000000001</v>
      </c>
      <c r="E79">
        <v>64.400000000000006</v>
      </c>
      <c r="F79">
        <v>50.8</v>
      </c>
      <c r="G79">
        <v>1944</v>
      </c>
      <c r="H79">
        <v>92</v>
      </c>
      <c r="I79">
        <v>2.97</v>
      </c>
      <c r="J79">
        <v>3.23</v>
      </c>
      <c r="K79">
        <v>9.4</v>
      </c>
      <c r="L79">
        <v>68</v>
      </c>
      <c r="M79">
        <v>5500</v>
      </c>
      <c r="N79">
        <v>31</v>
      </c>
      <c r="O79">
        <v>38</v>
      </c>
      <c r="P79">
        <v>6189</v>
      </c>
      <c r="Q79" t="s">
        <v>0</v>
      </c>
      <c r="R79" t="s">
        <v>1</v>
      </c>
      <c r="S79" t="s">
        <v>2</v>
      </c>
      <c r="T79" t="s">
        <v>6</v>
      </c>
      <c r="U79" t="s">
        <v>4</v>
      </c>
    </row>
    <row r="80" spans="1:21">
      <c r="A80">
        <v>79</v>
      </c>
      <c r="B80">
        <v>2</v>
      </c>
      <c r="C80">
        <v>93.7</v>
      </c>
      <c r="D80">
        <v>157.30000000000001</v>
      </c>
      <c r="E80">
        <v>64.400000000000006</v>
      </c>
      <c r="F80">
        <v>50.8</v>
      </c>
      <c r="G80">
        <v>2004</v>
      </c>
      <c r="H80">
        <v>92</v>
      </c>
      <c r="I80">
        <v>2.97</v>
      </c>
      <c r="J80">
        <v>3.23</v>
      </c>
      <c r="K80">
        <v>9.4</v>
      </c>
      <c r="L80">
        <v>68</v>
      </c>
      <c r="M80">
        <v>5500</v>
      </c>
      <c r="N80">
        <v>31</v>
      </c>
      <c r="O80">
        <v>38</v>
      </c>
      <c r="P80">
        <v>6669</v>
      </c>
      <c r="Q80" t="s">
        <v>0</v>
      </c>
      <c r="R80" t="s">
        <v>1</v>
      </c>
      <c r="S80" t="s">
        <v>2</v>
      </c>
      <c r="T80" t="s">
        <v>6</v>
      </c>
      <c r="U80" t="s">
        <v>4</v>
      </c>
    </row>
    <row r="81" spans="1:21">
      <c r="A81">
        <v>80</v>
      </c>
      <c r="B81">
        <v>1</v>
      </c>
      <c r="C81">
        <v>93</v>
      </c>
      <c r="D81">
        <v>157.30000000000001</v>
      </c>
      <c r="E81">
        <v>63.8</v>
      </c>
      <c r="F81">
        <v>50.8</v>
      </c>
      <c r="G81">
        <v>2145</v>
      </c>
      <c r="H81">
        <v>98</v>
      </c>
      <c r="I81">
        <v>3.03</v>
      </c>
      <c r="J81">
        <v>3.39</v>
      </c>
      <c r="K81">
        <v>7.6</v>
      </c>
      <c r="L81">
        <v>102</v>
      </c>
      <c r="M81">
        <v>5500</v>
      </c>
      <c r="N81">
        <v>24</v>
      </c>
      <c r="O81">
        <v>30</v>
      </c>
      <c r="P81">
        <v>7689</v>
      </c>
      <c r="Q81" t="s">
        <v>0</v>
      </c>
      <c r="R81" t="s">
        <v>8</v>
      </c>
      <c r="S81" t="s">
        <v>2</v>
      </c>
      <c r="T81" t="s">
        <v>6</v>
      </c>
      <c r="U81" t="s">
        <v>4</v>
      </c>
    </row>
    <row r="82" spans="1:21">
      <c r="A82">
        <v>81</v>
      </c>
      <c r="B82">
        <v>3</v>
      </c>
      <c r="C82">
        <v>96.3</v>
      </c>
      <c r="D82">
        <v>173</v>
      </c>
      <c r="E82">
        <v>65.400000000000006</v>
      </c>
      <c r="F82">
        <v>49.4</v>
      </c>
      <c r="G82">
        <v>2370</v>
      </c>
      <c r="H82">
        <v>110</v>
      </c>
      <c r="I82">
        <v>3.17</v>
      </c>
      <c r="J82">
        <v>3.46</v>
      </c>
      <c r="K82">
        <v>7.5</v>
      </c>
      <c r="L82">
        <v>116</v>
      </c>
      <c r="M82">
        <v>5500</v>
      </c>
      <c r="N82">
        <v>23</v>
      </c>
      <c r="O82">
        <v>30</v>
      </c>
      <c r="P82">
        <v>9959</v>
      </c>
      <c r="Q82" t="s">
        <v>0</v>
      </c>
      <c r="R82" t="s">
        <v>8</v>
      </c>
      <c r="S82" t="s">
        <v>2</v>
      </c>
      <c r="T82" t="s">
        <v>6</v>
      </c>
      <c r="U82" t="s">
        <v>4</v>
      </c>
    </row>
    <row r="83" spans="1:21">
      <c r="A83">
        <v>82</v>
      </c>
      <c r="B83">
        <v>3</v>
      </c>
      <c r="C83">
        <v>96.3</v>
      </c>
      <c r="D83">
        <v>173</v>
      </c>
      <c r="E83">
        <v>65.400000000000006</v>
      </c>
      <c r="F83">
        <v>49.4</v>
      </c>
      <c r="G83">
        <v>2328</v>
      </c>
      <c r="H83">
        <v>122</v>
      </c>
      <c r="I83">
        <v>3.35</v>
      </c>
      <c r="J83">
        <v>3.46</v>
      </c>
      <c r="K83">
        <v>8.5</v>
      </c>
      <c r="L83">
        <v>88</v>
      </c>
      <c r="M83">
        <v>5000</v>
      </c>
      <c r="N83">
        <v>25</v>
      </c>
      <c r="O83">
        <v>32</v>
      </c>
      <c r="P83">
        <v>8499</v>
      </c>
      <c r="Q83" t="s">
        <v>0</v>
      </c>
      <c r="R83" t="s">
        <v>1</v>
      </c>
      <c r="S83" t="s">
        <v>2</v>
      </c>
      <c r="T83" t="s">
        <v>6</v>
      </c>
      <c r="U83" t="s">
        <v>4</v>
      </c>
    </row>
    <row r="84" spans="1:21">
      <c r="A84">
        <v>83</v>
      </c>
      <c r="B84">
        <v>3</v>
      </c>
      <c r="C84">
        <v>95.9</v>
      </c>
      <c r="D84">
        <v>173.2</v>
      </c>
      <c r="E84">
        <v>66.3</v>
      </c>
      <c r="F84">
        <v>50.2</v>
      </c>
      <c r="G84">
        <v>2833</v>
      </c>
      <c r="H84">
        <v>156</v>
      </c>
      <c r="I84">
        <v>3.58</v>
      </c>
      <c r="J84">
        <v>3.86</v>
      </c>
      <c r="K84">
        <v>7</v>
      </c>
      <c r="L84">
        <v>145</v>
      </c>
      <c r="M84">
        <v>5000</v>
      </c>
      <c r="N84">
        <v>19</v>
      </c>
      <c r="O84">
        <v>24</v>
      </c>
      <c r="P84">
        <v>12629</v>
      </c>
      <c r="Q84" t="s">
        <v>0</v>
      </c>
      <c r="R84" t="s">
        <v>8</v>
      </c>
      <c r="S84" t="s">
        <v>2</v>
      </c>
      <c r="T84" t="s">
        <v>6</v>
      </c>
      <c r="U84" t="s">
        <v>4</v>
      </c>
    </row>
    <row r="85" spans="1:21">
      <c r="A85">
        <v>84</v>
      </c>
      <c r="B85">
        <v>3</v>
      </c>
      <c r="C85">
        <v>95.9</v>
      </c>
      <c r="D85">
        <v>173.2</v>
      </c>
      <c r="E85">
        <v>66.3</v>
      </c>
      <c r="F85">
        <v>50.2</v>
      </c>
      <c r="G85">
        <v>2921</v>
      </c>
      <c r="H85">
        <v>156</v>
      </c>
      <c r="I85">
        <v>3.59</v>
      </c>
      <c r="J85">
        <v>3.86</v>
      </c>
      <c r="K85">
        <v>7</v>
      </c>
      <c r="L85">
        <v>145</v>
      </c>
      <c r="M85">
        <v>5000</v>
      </c>
      <c r="N85">
        <v>19</v>
      </c>
      <c r="O85">
        <v>24</v>
      </c>
      <c r="P85">
        <v>14869</v>
      </c>
      <c r="Q85" t="s">
        <v>0</v>
      </c>
      <c r="R85" t="s">
        <v>8</v>
      </c>
      <c r="S85" t="s">
        <v>2</v>
      </c>
      <c r="T85" t="s">
        <v>6</v>
      </c>
      <c r="U85" t="s">
        <v>4</v>
      </c>
    </row>
    <row r="86" spans="1:21">
      <c r="A86">
        <v>85</v>
      </c>
      <c r="B86">
        <v>3</v>
      </c>
      <c r="C86">
        <v>95.9</v>
      </c>
      <c r="D86">
        <v>173.2</v>
      </c>
      <c r="E86">
        <v>66.3</v>
      </c>
      <c r="F86">
        <v>50.2</v>
      </c>
      <c r="G86">
        <v>2926</v>
      </c>
      <c r="H86">
        <v>156</v>
      </c>
      <c r="I86">
        <v>3.59</v>
      </c>
      <c r="J86">
        <v>3.86</v>
      </c>
      <c r="K86">
        <v>7</v>
      </c>
      <c r="L86">
        <v>145</v>
      </c>
      <c r="M86">
        <v>5000</v>
      </c>
      <c r="N86">
        <v>19</v>
      </c>
      <c r="O86">
        <v>24</v>
      </c>
      <c r="P86">
        <v>14489</v>
      </c>
      <c r="Q86" t="s">
        <v>0</v>
      </c>
      <c r="R86" t="s">
        <v>8</v>
      </c>
      <c r="S86" t="s">
        <v>2</v>
      </c>
      <c r="T86" t="s">
        <v>6</v>
      </c>
      <c r="U86" t="s">
        <v>4</v>
      </c>
    </row>
    <row r="87" spans="1:21">
      <c r="A87">
        <v>86</v>
      </c>
      <c r="B87">
        <v>1</v>
      </c>
      <c r="C87">
        <v>96.3</v>
      </c>
      <c r="D87">
        <v>172.4</v>
      </c>
      <c r="E87">
        <v>65.400000000000006</v>
      </c>
      <c r="F87">
        <v>51.6</v>
      </c>
      <c r="G87">
        <v>2365</v>
      </c>
      <c r="H87">
        <v>122</v>
      </c>
      <c r="I87">
        <v>3.35</v>
      </c>
      <c r="J87">
        <v>3.46</v>
      </c>
      <c r="K87">
        <v>8.5</v>
      </c>
      <c r="L87">
        <v>88</v>
      </c>
      <c r="M87">
        <v>5000</v>
      </c>
      <c r="N87">
        <v>25</v>
      </c>
      <c r="O87">
        <v>32</v>
      </c>
      <c r="P87">
        <v>6989</v>
      </c>
      <c r="Q87" t="s">
        <v>0</v>
      </c>
      <c r="R87" t="s">
        <v>1</v>
      </c>
      <c r="S87" t="s">
        <v>5</v>
      </c>
      <c r="T87" t="s">
        <v>6</v>
      </c>
      <c r="U87" t="s">
        <v>4</v>
      </c>
    </row>
    <row r="88" spans="1:21">
      <c r="A88">
        <v>87</v>
      </c>
      <c r="B88">
        <v>1</v>
      </c>
      <c r="C88">
        <v>96.3</v>
      </c>
      <c r="D88">
        <v>172.4</v>
      </c>
      <c r="E88">
        <v>65.400000000000006</v>
      </c>
      <c r="F88">
        <v>51.6</v>
      </c>
      <c r="G88">
        <v>2405</v>
      </c>
      <c r="H88">
        <v>122</v>
      </c>
      <c r="I88">
        <v>3.35</v>
      </c>
      <c r="J88">
        <v>3.46</v>
      </c>
      <c r="K88">
        <v>8.5</v>
      </c>
      <c r="L88">
        <v>88</v>
      </c>
      <c r="M88">
        <v>5000</v>
      </c>
      <c r="N88">
        <v>25</v>
      </c>
      <c r="O88">
        <v>32</v>
      </c>
      <c r="P88">
        <v>8189</v>
      </c>
      <c r="Q88" t="s">
        <v>0</v>
      </c>
      <c r="R88" t="s">
        <v>1</v>
      </c>
      <c r="S88" t="s">
        <v>5</v>
      </c>
      <c r="T88" t="s">
        <v>6</v>
      </c>
      <c r="U88" t="s">
        <v>4</v>
      </c>
    </row>
    <row r="89" spans="1:21">
      <c r="A89">
        <v>88</v>
      </c>
      <c r="B89">
        <v>1</v>
      </c>
      <c r="C89">
        <v>96.3</v>
      </c>
      <c r="D89">
        <v>172.4</v>
      </c>
      <c r="E89">
        <v>65.400000000000006</v>
      </c>
      <c r="F89">
        <v>51.6</v>
      </c>
      <c r="G89">
        <v>2403</v>
      </c>
      <c r="H89">
        <v>110</v>
      </c>
      <c r="I89">
        <v>3.17</v>
      </c>
      <c r="J89">
        <v>3.46</v>
      </c>
      <c r="K89">
        <v>7.5</v>
      </c>
      <c r="L89">
        <v>116</v>
      </c>
      <c r="M89">
        <v>5500</v>
      </c>
      <c r="N89">
        <v>23</v>
      </c>
      <c r="O89">
        <v>30</v>
      </c>
      <c r="P89">
        <v>9279</v>
      </c>
      <c r="Q89" t="s">
        <v>0</v>
      </c>
      <c r="R89" t="s">
        <v>8</v>
      </c>
      <c r="S89" t="s">
        <v>5</v>
      </c>
      <c r="T89" t="s">
        <v>6</v>
      </c>
      <c r="U89" t="s">
        <v>4</v>
      </c>
    </row>
    <row r="90" spans="1:21">
      <c r="A90">
        <v>89</v>
      </c>
      <c r="B90">
        <v>-1</v>
      </c>
      <c r="C90">
        <v>96.3</v>
      </c>
      <c r="D90">
        <v>172.4</v>
      </c>
      <c r="E90">
        <v>65.400000000000006</v>
      </c>
      <c r="F90">
        <v>51.6</v>
      </c>
      <c r="G90">
        <v>2403</v>
      </c>
      <c r="H90">
        <v>110</v>
      </c>
      <c r="I90">
        <v>3.17</v>
      </c>
      <c r="J90">
        <v>3.46</v>
      </c>
      <c r="K90">
        <v>7.5</v>
      </c>
      <c r="L90">
        <v>116</v>
      </c>
      <c r="M90">
        <v>5500</v>
      </c>
      <c r="N90">
        <v>23</v>
      </c>
      <c r="O90">
        <v>30</v>
      </c>
      <c r="P90">
        <v>9279</v>
      </c>
      <c r="Q90" t="s">
        <v>0</v>
      </c>
      <c r="R90" t="s">
        <v>1</v>
      </c>
      <c r="S90" t="s">
        <v>5</v>
      </c>
      <c r="T90" t="s">
        <v>6</v>
      </c>
      <c r="U90" t="s">
        <v>4</v>
      </c>
    </row>
    <row r="91" spans="1:21">
      <c r="A91">
        <v>90</v>
      </c>
      <c r="B91">
        <v>1</v>
      </c>
      <c r="C91">
        <v>94.5</v>
      </c>
      <c r="D91">
        <v>165.3</v>
      </c>
      <c r="E91">
        <v>63.8</v>
      </c>
      <c r="F91">
        <v>54.5</v>
      </c>
      <c r="G91">
        <v>1889</v>
      </c>
      <c r="H91">
        <v>97</v>
      </c>
      <c r="I91">
        <v>3.15</v>
      </c>
      <c r="J91">
        <v>3.29</v>
      </c>
      <c r="K91">
        <v>9.4</v>
      </c>
      <c r="L91">
        <v>69</v>
      </c>
      <c r="M91">
        <v>5200</v>
      </c>
      <c r="N91">
        <v>31</v>
      </c>
      <c r="O91">
        <v>37</v>
      </c>
      <c r="P91">
        <v>5499</v>
      </c>
      <c r="Q91" t="s">
        <v>0</v>
      </c>
      <c r="R91" t="s">
        <v>1</v>
      </c>
      <c r="S91" t="s">
        <v>2</v>
      </c>
      <c r="T91" t="s">
        <v>6</v>
      </c>
      <c r="U91" t="s">
        <v>4</v>
      </c>
    </row>
    <row r="92" spans="1:21">
      <c r="A92">
        <v>91</v>
      </c>
      <c r="B92">
        <v>1</v>
      </c>
      <c r="C92">
        <v>94.5</v>
      </c>
      <c r="D92">
        <v>165.3</v>
      </c>
      <c r="E92">
        <v>63.8</v>
      </c>
      <c r="F92">
        <v>54.5</v>
      </c>
      <c r="G92">
        <v>2017</v>
      </c>
      <c r="H92">
        <v>103</v>
      </c>
      <c r="I92">
        <v>2.99</v>
      </c>
      <c r="J92">
        <v>3.47</v>
      </c>
      <c r="K92">
        <v>21.9</v>
      </c>
      <c r="L92">
        <v>55</v>
      </c>
      <c r="M92">
        <v>4800</v>
      </c>
      <c r="N92">
        <v>45</v>
      </c>
      <c r="O92">
        <v>50</v>
      </c>
      <c r="P92">
        <v>7099</v>
      </c>
      <c r="Q92" t="s">
        <v>9</v>
      </c>
      <c r="R92" t="s">
        <v>1</v>
      </c>
      <c r="S92" t="s">
        <v>2</v>
      </c>
      <c r="T92" t="s">
        <v>6</v>
      </c>
      <c r="U92" t="s">
        <v>4</v>
      </c>
    </row>
    <row r="93" spans="1:21">
      <c r="A93">
        <v>92</v>
      </c>
      <c r="B93">
        <v>1</v>
      </c>
      <c r="C93">
        <v>94.5</v>
      </c>
      <c r="D93">
        <v>165.3</v>
      </c>
      <c r="E93">
        <v>63.8</v>
      </c>
      <c r="F93">
        <v>54.5</v>
      </c>
      <c r="G93">
        <v>1918</v>
      </c>
      <c r="H93">
        <v>97</v>
      </c>
      <c r="I93">
        <v>3.15</v>
      </c>
      <c r="J93">
        <v>3.29</v>
      </c>
      <c r="K93">
        <v>9.4</v>
      </c>
      <c r="L93">
        <v>69</v>
      </c>
      <c r="M93">
        <v>5200</v>
      </c>
      <c r="N93">
        <v>31</v>
      </c>
      <c r="O93">
        <v>37</v>
      </c>
      <c r="P93">
        <v>6649</v>
      </c>
      <c r="Q93" t="s">
        <v>0</v>
      </c>
      <c r="R93" t="s">
        <v>1</v>
      </c>
      <c r="S93" t="s">
        <v>2</v>
      </c>
      <c r="T93" t="s">
        <v>6</v>
      </c>
      <c r="U93" t="s">
        <v>4</v>
      </c>
    </row>
    <row r="94" spans="1:21">
      <c r="A94">
        <v>93</v>
      </c>
      <c r="B94">
        <v>1</v>
      </c>
      <c r="C94">
        <v>94.5</v>
      </c>
      <c r="D94">
        <v>165.3</v>
      </c>
      <c r="E94">
        <v>63.8</v>
      </c>
      <c r="F94">
        <v>54.5</v>
      </c>
      <c r="G94">
        <v>1938</v>
      </c>
      <c r="H94">
        <v>97</v>
      </c>
      <c r="I94">
        <v>3.15</v>
      </c>
      <c r="J94">
        <v>3.29</v>
      </c>
      <c r="K94">
        <v>9.4</v>
      </c>
      <c r="L94">
        <v>69</v>
      </c>
      <c r="M94">
        <v>5200</v>
      </c>
      <c r="N94">
        <v>31</v>
      </c>
      <c r="O94">
        <v>37</v>
      </c>
      <c r="P94">
        <v>6849</v>
      </c>
      <c r="Q94" t="s">
        <v>0</v>
      </c>
      <c r="R94" t="s">
        <v>1</v>
      </c>
      <c r="S94" t="s">
        <v>5</v>
      </c>
      <c r="T94" t="s">
        <v>6</v>
      </c>
      <c r="U94" t="s">
        <v>4</v>
      </c>
    </row>
    <row r="95" spans="1:21">
      <c r="A95">
        <v>94</v>
      </c>
      <c r="B95">
        <v>1</v>
      </c>
      <c r="C95">
        <v>94.5</v>
      </c>
      <c r="D95">
        <v>170.2</v>
      </c>
      <c r="E95">
        <v>63.8</v>
      </c>
      <c r="F95">
        <v>53.5</v>
      </c>
      <c r="G95">
        <v>2024</v>
      </c>
      <c r="H95">
        <v>97</v>
      </c>
      <c r="I95">
        <v>3.15</v>
      </c>
      <c r="J95">
        <v>3.29</v>
      </c>
      <c r="K95">
        <v>9.4</v>
      </c>
      <c r="L95">
        <v>69</v>
      </c>
      <c r="M95">
        <v>5200</v>
      </c>
      <c r="N95">
        <v>31</v>
      </c>
      <c r="O95">
        <v>37</v>
      </c>
      <c r="P95">
        <v>7349</v>
      </c>
      <c r="Q95" t="s">
        <v>0</v>
      </c>
      <c r="R95" t="s">
        <v>1</v>
      </c>
      <c r="S95" t="s">
        <v>5</v>
      </c>
      <c r="T95" t="s">
        <v>6</v>
      </c>
      <c r="U95" t="s">
        <v>4</v>
      </c>
    </row>
    <row r="96" spans="1:21">
      <c r="A96">
        <v>95</v>
      </c>
      <c r="B96">
        <v>1</v>
      </c>
      <c r="C96">
        <v>94.5</v>
      </c>
      <c r="D96">
        <v>165.3</v>
      </c>
      <c r="E96">
        <v>63.8</v>
      </c>
      <c r="F96">
        <v>54.5</v>
      </c>
      <c r="G96">
        <v>1951</v>
      </c>
      <c r="H96">
        <v>97</v>
      </c>
      <c r="I96">
        <v>3.15</v>
      </c>
      <c r="J96">
        <v>3.29</v>
      </c>
      <c r="K96">
        <v>9.4</v>
      </c>
      <c r="L96">
        <v>69</v>
      </c>
      <c r="M96">
        <v>5200</v>
      </c>
      <c r="N96">
        <v>31</v>
      </c>
      <c r="O96">
        <v>37</v>
      </c>
      <c r="P96">
        <v>7299</v>
      </c>
      <c r="Q96" t="s">
        <v>0</v>
      </c>
      <c r="R96" t="s">
        <v>1</v>
      </c>
      <c r="S96" t="s">
        <v>2</v>
      </c>
      <c r="T96" t="s">
        <v>6</v>
      </c>
      <c r="U96" t="s">
        <v>4</v>
      </c>
    </row>
    <row r="97" spans="1:21">
      <c r="A97">
        <v>96</v>
      </c>
      <c r="B97">
        <v>1</v>
      </c>
      <c r="C97">
        <v>94.5</v>
      </c>
      <c r="D97">
        <v>165.6</v>
      </c>
      <c r="E97">
        <v>63.8</v>
      </c>
      <c r="F97">
        <v>53.3</v>
      </c>
      <c r="G97">
        <v>2028</v>
      </c>
      <c r="H97">
        <v>97</v>
      </c>
      <c r="I97">
        <v>3.15</v>
      </c>
      <c r="J97">
        <v>3.29</v>
      </c>
      <c r="K97">
        <v>9.4</v>
      </c>
      <c r="L97">
        <v>69</v>
      </c>
      <c r="M97">
        <v>5200</v>
      </c>
      <c r="N97">
        <v>31</v>
      </c>
      <c r="O97">
        <v>37</v>
      </c>
      <c r="P97">
        <v>7799</v>
      </c>
      <c r="Q97" t="s">
        <v>0</v>
      </c>
      <c r="R97" t="s">
        <v>1</v>
      </c>
      <c r="S97" t="s">
        <v>2</v>
      </c>
      <c r="T97" t="s">
        <v>6</v>
      </c>
      <c r="U97" t="s">
        <v>4</v>
      </c>
    </row>
    <row r="98" spans="1:21">
      <c r="A98">
        <v>97</v>
      </c>
      <c r="B98">
        <v>1</v>
      </c>
      <c r="C98">
        <v>94.5</v>
      </c>
      <c r="D98">
        <v>165.3</v>
      </c>
      <c r="E98">
        <v>63.8</v>
      </c>
      <c r="F98">
        <v>54.5</v>
      </c>
      <c r="G98">
        <v>1971</v>
      </c>
      <c r="H98">
        <v>97</v>
      </c>
      <c r="I98">
        <v>3.15</v>
      </c>
      <c r="J98">
        <v>3.29</v>
      </c>
      <c r="K98">
        <v>9.4</v>
      </c>
      <c r="L98">
        <v>69</v>
      </c>
      <c r="M98">
        <v>5200</v>
      </c>
      <c r="N98">
        <v>31</v>
      </c>
      <c r="O98">
        <v>37</v>
      </c>
      <c r="P98">
        <v>7499</v>
      </c>
      <c r="Q98" t="s">
        <v>0</v>
      </c>
      <c r="R98" t="s">
        <v>1</v>
      </c>
      <c r="S98" t="s">
        <v>5</v>
      </c>
      <c r="T98" t="s">
        <v>6</v>
      </c>
      <c r="U98" t="s">
        <v>4</v>
      </c>
    </row>
    <row r="99" spans="1:21">
      <c r="A99">
        <v>98</v>
      </c>
      <c r="B99">
        <v>1</v>
      </c>
      <c r="C99">
        <v>94.5</v>
      </c>
      <c r="D99">
        <v>170.2</v>
      </c>
      <c r="E99">
        <v>63.8</v>
      </c>
      <c r="F99">
        <v>53.5</v>
      </c>
      <c r="G99">
        <v>2037</v>
      </c>
      <c r="H99">
        <v>97</v>
      </c>
      <c r="I99">
        <v>3.15</v>
      </c>
      <c r="J99">
        <v>3.29</v>
      </c>
      <c r="K99">
        <v>9.4</v>
      </c>
      <c r="L99">
        <v>69</v>
      </c>
      <c r="M99">
        <v>5200</v>
      </c>
      <c r="N99">
        <v>31</v>
      </c>
      <c r="O99">
        <v>37</v>
      </c>
      <c r="P99">
        <v>7999</v>
      </c>
      <c r="Q99" t="s">
        <v>0</v>
      </c>
      <c r="R99" t="s">
        <v>1</v>
      </c>
      <c r="S99" t="s">
        <v>5</v>
      </c>
      <c r="T99" t="s">
        <v>6</v>
      </c>
      <c r="U99" t="s">
        <v>4</v>
      </c>
    </row>
    <row r="100" spans="1:21">
      <c r="A100">
        <v>99</v>
      </c>
      <c r="B100">
        <v>2</v>
      </c>
      <c r="C100">
        <v>95.1</v>
      </c>
      <c r="D100">
        <v>162.4</v>
      </c>
      <c r="E100">
        <v>63.8</v>
      </c>
      <c r="F100">
        <v>53.3</v>
      </c>
      <c r="G100">
        <v>2008</v>
      </c>
      <c r="H100">
        <v>97</v>
      </c>
      <c r="I100">
        <v>3.15</v>
      </c>
      <c r="J100">
        <v>3.29</v>
      </c>
      <c r="K100">
        <v>9.4</v>
      </c>
      <c r="L100">
        <v>69</v>
      </c>
      <c r="M100">
        <v>5200</v>
      </c>
      <c r="N100">
        <v>31</v>
      </c>
      <c r="O100">
        <v>37</v>
      </c>
      <c r="P100">
        <v>8249</v>
      </c>
      <c r="Q100" t="s">
        <v>0</v>
      </c>
      <c r="R100" t="s">
        <v>1</v>
      </c>
      <c r="S100" t="s">
        <v>2</v>
      </c>
      <c r="T100" t="s">
        <v>6</v>
      </c>
      <c r="U100" t="s">
        <v>4</v>
      </c>
    </row>
    <row r="101" spans="1:21">
      <c r="A101">
        <v>100</v>
      </c>
      <c r="B101">
        <v>0</v>
      </c>
      <c r="C101">
        <v>97.2</v>
      </c>
      <c r="D101">
        <v>173.4</v>
      </c>
      <c r="E101">
        <v>65.2</v>
      </c>
      <c r="F101">
        <v>54.7</v>
      </c>
      <c r="G101">
        <v>2324</v>
      </c>
      <c r="H101">
        <v>120</v>
      </c>
      <c r="I101">
        <v>3.33</v>
      </c>
      <c r="J101">
        <v>3.47</v>
      </c>
      <c r="K101">
        <v>8.5</v>
      </c>
      <c r="L101">
        <v>97</v>
      </c>
      <c r="M101">
        <v>5200</v>
      </c>
      <c r="N101">
        <v>27</v>
      </c>
      <c r="O101">
        <v>34</v>
      </c>
      <c r="P101">
        <v>8949</v>
      </c>
      <c r="Q101" t="s">
        <v>0</v>
      </c>
      <c r="R101" t="s">
        <v>1</v>
      </c>
      <c r="S101" t="s">
        <v>5</v>
      </c>
      <c r="T101" t="s">
        <v>6</v>
      </c>
      <c r="U101" t="s">
        <v>4</v>
      </c>
    </row>
    <row r="102" spans="1:21">
      <c r="A102">
        <v>101</v>
      </c>
      <c r="B102">
        <v>0</v>
      </c>
      <c r="C102">
        <v>97.2</v>
      </c>
      <c r="D102">
        <v>173.4</v>
      </c>
      <c r="E102">
        <v>65.2</v>
      </c>
      <c r="F102">
        <v>54.7</v>
      </c>
      <c r="G102">
        <v>2302</v>
      </c>
      <c r="H102">
        <v>120</v>
      </c>
      <c r="I102">
        <v>3.33</v>
      </c>
      <c r="J102">
        <v>3.47</v>
      </c>
      <c r="K102">
        <v>8.5</v>
      </c>
      <c r="L102">
        <v>97</v>
      </c>
      <c r="M102">
        <v>5200</v>
      </c>
      <c r="N102">
        <v>27</v>
      </c>
      <c r="O102">
        <v>34</v>
      </c>
      <c r="P102">
        <v>9549</v>
      </c>
      <c r="Q102" t="s">
        <v>0</v>
      </c>
      <c r="R102" t="s">
        <v>1</v>
      </c>
      <c r="S102" t="s">
        <v>5</v>
      </c>
      <c r="T102" t="s">
        <v>6</v>
      </c>
      <c r="U102" t="s">
        <v>4</v>
      </c>
    </row>
    <row r="103" spans="1:21">
      <c r="A103">
        <v>102</v>
      </c>
      <c r="B103">
        <v>0</v>
      </c>
      <c r="C103">
        <v>100.4</v>
      </c>
      <c r="D103">
        <v>181.7</v>
      </c>
      <c r="E103">
        <v>66.5</v>
      </c>
      <c r="F103">
        <v>55.1</v>
      </c>
      <c r="G103">
        <v>3095</v>
      </c>
      <c r="H103">
        <v>181</v>
      </c>
      <c r="I103">
        <v>3.43</v>
      </c>
      <c r="J103">
        <v>3.27</v>
      </c>
      <c r="K103">
        <v>9</v>
      </c>
      <c r="L103">
        <v>152</v>
      </c>
      <c r="M103">
        <v>5200</v>
      </c>
      <c r="N103">
        <v>17</v>
      </c>
      <c r="O103">
        <v>22</v>
      </c>
      <c r="P103">
        <v>13499</v>
      </c>
      <c r="Q103" t="s">
        <v>0</v>
      </c>
      <c r="R103" t="s">
        <v>1</v>
      </c>
      <c r="S103" t="s">
        <v>5</v>
      </c>
      <c r="T103" t="s">
        <v>6</v>
      </c>
      <c r="U103" t="s">
        <v>4</v>
      </c>
    </row>
    <row r="104" spans="1:21">
      <c r="A104">
        <v>103</v>
      </c>
      <c r="B104">
        <v>0</v>
      </c>
      <c r="C104">
        <v>100.4</v>
      </c>
      <c r="D104">
        <v>184.6</v>
      </c>
      <c r="E104">
        <v>66.5</v>
      </c>
      <c r="F104">
        <v>56.1</v>
      </c>
      <c r="G104">
        <v>3296</v>
      </c>
      <c r="H104">
        <v>181</v>
      </c>
      <c r="I104">
        <v>3.43</v>
      </c>
      <c r="J104">
        <v>3.27</v>
      </c>
      <c r="K104">
        <v>9</v>
      </c>
      <c r="L104">
        <v>152</v>
      </c>
      <c r="M104">
        <v>5200</v>
      </c>
      <c r="N104">
        <v>17</v>
      </c>
      <c r="O104">
        <v>22</v>
      </c>
      <c r="P104">
        <v>14399</v>
      </c>
      <c r="Q104" t="s">
        <v>0</v>
      </c>
      <c r="R104" t="s">
        <v>1</v>
      </c>
      <c r="S104" t="s">
        <v>5</v>
      </c>
      <c r="T104" t="s">
        <v>6</v>
      </c>
      <c r="U104" t="s">
        <v>4</v>
      </c>
    </row>
    <row r="105" spans="1:21">
      <c r="A105">
        <v>104</v>
      </c>
      <c r="B105">
        <v>0</v>
      </c>
      <c r="C105">
        <v>100.4</v>
      </c>
      <c r="D105">
        <v>184.6</v>
      </c>
      <c r="E105">
        <v>66.5</v>
      </c>
      <c r="F105">
        <v>55.1</v>
      </c>
      <c r="G105">
        <v>3060</v>
      </c>
      <c r="H105">
        <v>181</v>
      </c>
      <c r="I105">
        <v>3.43</v>
      </c>
      <c r="J105">
        <v>3.27</v>
      </c>
      <c r="K105">
        <v>9</v>
      </c>
      <c r="L105">
        <v>152</v>
      </c>
      <c r="M105">
        <v>5200</v>
      </c>
      <c r="N105">
        <v>19</v>
      </c>
      <c r="O105">
        <v>25</v>
      </c>
      <c r="P105">
        <v>13499</v>
      </c>
      <c r="Q105" t="s">
        <v>0</v>
      </c>
      <c r="R105" t="s">
        <v>1</v>
      </c>
      <c r="S105" t="s">
        <v>5</v>
      </c>
      <c r="T105" t="s">
        <v>6</v>
      </c>
      <c r="U105" t="s">
        <v>4</v>
      </c>
    </row>
    <row r="106" spans="1:21">
      <c r="A106">
        <v>105</v>
      </c>
      <c r="B106">
        <v>3</v>
      </c>
      <c r="C106">
        <v>91.3</v>
      </c>
      <c r="D106">
        <v>170.7</v>
      </c>
      <c r="E106">
        <v>67.900000000000006</v>
      </c>
      <c r="F106">
        <v>49.7</v>
      </c>
      <c r="G106">
        <v>3071</v>
      </c>
      <c r="H106">
        <v>181</v>
      </c>
      <c r="I106">
        <v>3.43</v>
      </c>
      <c r="J106">
        <v>3.27</v>
      </c>
      <c r="K106">
        <v>9</v>
      </c>
      <c r="L106">
        <v>160</v>
      </c>
      <c r="M106">
        <v>5200</v>
      </c>
      <c r="N106">
        <v>19</v>
      </c>
      <c r="O106">
        <v>25</v>
      </c>
      <c r="P106">
        <v>17199</v>
      </c>
      <c r="Q106" t="s">
        <v>0</v>
      </c>
      <c r="R106" t="s">
        <v>1</v>
      </c>
      <c r="S106" t="s">
        <v>2</v>
      </c>
      <c r="T106" t="s">
        <v>3</v>
      </c>
      <c r="U106" t="s">
        <v>4</v>
      </c>
    </row>
    <row r="107" spans="1:21">
      <c r="A107">
        <v>106</v>
      </c>
      <c r="B107">
        <v>3</v>
      </c>
      <c r="C107">
        <v>91.3</v>
      </c>
      <c r="D107">
        <v>170.7</v>
      </c>
      <c r="E107">
        <v>67.900000000000006</v>
      </c>
      <c r="F107">
        <v>49.7</v>
      </c>
      <c r="G107">
        <v>3139</v>
      </c>
      <c r="H107">
        <v>181</v>
      </c>
      <c r="I107">
        <v>3.43</v>
      </c>
      <c r="J107">
        <v>3.27</v>
      </c>
      <c r="K107">
        <v>7.8</v>
      </c>
      <c r="L107">
        <v>200</v>
      </c>
      <c r="M107">
        <v>5200</v>
      </c>
      <c r="N107">
        <v>17</v>
      </c>
      <c r="O107">
        <v>23</v>
      </c>
      <c r="P107">
        <v>19699</v>
      </c>
      <c r="Q107" t="s">
        <v>0</v>
      </c>
      <c r="R107" t="s">
        <v>8</v>
      </c>
      <c r="S107" t="s">
        <v>2</v>
      </c>
      <c r="T107" t="s">
        <v>3</v>
      </c>
      <c r="U107" t="s">
        <v>4</v>
      </c>
    </row>
    <row r="108" spans="1:21">
      <c r="A108">
        <v>107</v>
      </c>
      <c r="B108">
        <v>1</v>
      </c>
      <c r="C108">
        <v>99.2</v>
      </c>
      <c r="D108">
        <v>178.5</v>
      </c>
      <c r="E108">
        <v>67.900000000000006</v>
      </c>
      <c r="F108">
        <v>49.7</v>
      </c>
      <c r="G108">
        <v>3139</v>
      </c>
      <c r="H108">
        <v>181</v>
      </c>
      <c r="I108">
        <v>3.43</v>
      </c>
      <c r="J108">
        <v>3.27</v>
      </c>
      <c r="K108">
        <v>9</v>
      </c>
      <c r="L108">
        <v>160</v>
      </c>
      <c r="M108">
        <v>5200</v>
      </c>
      <c r="N108">
        <v>19</v>
      </c>
      <c r="O108">
        <v>25</v>
      </c>
      <c r="P108">
        <v>18399</v>
      </c>
      <c r="Q108" t="s">
        <v>0</v>
      </c>
      <c r="R108" t="s">
        <v>1</v>
      </c>
      <c r="S108" t="s">
        <v>2</v>
      </c>
      <c r="T108" t="s">
        <v>3</v>
      </c>
      <c r="U108" t="s">
        <v>4</v>
      </c>
    </row>
    <row r="109" spans="1:21">
      <c r="A109">
        <v>108</v>
      </c>
      <c r="B109">
        <v>0</v>
      </c>
      <c r="C109">
        <v>107.9</v>
      </c>
      <c r="D109">
        <v>186.7</v>
      </c>
      <c r="E109">
        <v>68.400000000000006</v>
      </c>
      <c r="F109">
        <v>56.7</v>
      </c>
      <c r="G109">
        <v>3020</v>
      </c>
      <c r="H109">
        <v>120</v>
      </c>
      <c r="I109">
        <v>3.46</v>
      </c>
      <c r="J109">
        <v>3.19</v>
      </c>
      <c r="K109">
        <v>8.4</v>
      </c>
      <c r="L109">
        <v>97</v>
      </c>
      <c r="M109">
        <v>5000</v>
      </c>
      <c r="N109">
        <v>19</v>
      </c>
      <c r="O109">
        <v>24</v>
      </c>
      <c r="P109">
        <v>11900</v>
      </c>
      <c r="Q109" t="s">
        <v>0</v>
      </c>
      <c r="R109" t="s">
        <v>1</v>
      </c>
      <c r="S109" t="s">
        <v>5</v>
      </c>
      <c r="T109" t="s">
        <v>3</v>
      </c>
      <c r="U109" t="s">
        <v>4</v>
      </c>
    </row>
    <row r="110" spans="1:21">
      <c r="A110">
        <v>109</v>
      </c>
      <c r="B110">
        <v>0</v>
      </c>
      <c r="C110">
        <v>107.9</v>
      </c>
      <c r="D110">
        <v>186.7</v>
      </c>
      <c r="E110">
        <v>68.400000000000006</v>
      </c>
      <c r="F110">
        <v>56.7</v>
      </c>
      <c r="G110">
        <v>3197</v>
      </c>
      <c r="H110">
        <v>152</v>
      </c>
      <c r="I110">
        <v>3.7</v>
      </c>
      <c r="J110">
        <v>3.52</v>
      </c>
      <c r="K110">
        <v>21</v>
      </c>
      <c r="L110">
        <v>95</v>
      </c>
      <c r="M110">
        <v>4150</v>
      </c>
      <c r="N110">
        <v>28</v>
      </c>
      <c r="O110">
        <v>33</v>
      </c>
      <c r="P110">
        <v>13200</v>
      </c>
      <c r="Q110" t="s">
        <v>9</v>
      </c>
      <c r="R110" t="s">
        <v>8</v>
      </c>
      <c r="S110" t="s">
        <v>5</v>
      </c>
      <c r="T110" t="s">
        <v>3</v>
      </c>
      <c r="U110" t="s">
        <v>4</v>
      </c>
    </row>
    <row r="111" spans="1:21">
      <c r="A111">
        <v>110</v>
      </c>
      <c r="B111">
        <v>0</v>
      </c>
      <c r="C111">
        <v>114.2</v>
      </c>
      <c r="D111">
        <v>198.9</v>
      </c>
      <c r="E111">
        <v>68.400000000000006</v>
      </c>
      <c r="F111">
        <v>58.7</v>
      </c>
      <c r="G111">
        <v>3230</v>
      </c>
      <c r="H111">
        <v>120</v>
      </c>
      <c r="I111">
        <v>3.46</v>
      </c>
      <c r="J111">
        <v>3.19</v>
      </c>
      <c r="K111">
        <v>8.4</v>
      </c>
      <c r="L111">
        <v>97</v>
      </c>
      <c r="M111">
        <v>5000</v>
      </c>
      <c r="N111">
        <v>19</v>
      </c>
      <c r="O111">
        <v>24</v>
      </c>
      <c r="P111">
        <v>12440</v>
      </c>
      <c r="Q111" t="s">
        <v>0</v>
      </c>
      <c r="R111" t="s">
        <v>1</v>
      </c>
      <c r="S111" t="s">
        <v>5</v>
      </c>
      <c r="T111" t="s">
        <v>3</v>
      </c>
      <c r="U111" t="s">
        <v>4</v>
      </c>
    </row>
    <row r="112" spans="1:21">
      <c r="A112">
        <v>111</v>
      </c>
      <c r="B112">
        <v>0</v>
      </c>
      <c r="C112">
        <v>114.2</v>
      </c>
      <c r="D112">
        <v>198.9</v>
      </c>
      <c r="E112">
        <v>68.400000000000006</v>
      </c>
      <c r="F112">
        <v>58.7</v>
      </c>
      <c r="G112">
        <v>3430</v>
      </c>
      <c r="H112">
        <v>152</v>
      </c>
      <c r="I112">
        <v>3.7</v>
      </c>
      <c r="J112">
        <v>3.52</v>
      </c>
      <c r="K112">
        <v>21</v>
      </c>
      <c r="L112">
        <v>95</v>
      </c>
      <c r="M112">
        <v>4150</v>
      </c>
      <c r="N112">
        <v>25</v>
      </c>
      <c r="O112">
        <v>25</v>
      </c>
      <c r="P112">
        <v>13860</v>
      </c>
      <c r="Q112" t="s">
        <v>9</v>
      </c>
      <c r="R112" t="s">
        <v>8</v>
      </c>
      <c r="S112" t="s">
        <v>5</v>
      </c>
      <c r="T112" t="s">
        <v>3</v>
      </c>
      <c r="U112" t="s">
        <v>4</v>
      </c>
    </row>
    <row r="113" spans="1:21">
      <c r="A113">
        <v>112</v>
      </c>
      <c r="B113">
        <v>0</v>
      </c>
      <c r="C113">
        <v>107.9</v>
      </c>
      <c r="D113">
        <v>186.7</v>
      </c>
      <c r="E113">
        <v>68.400000000000006</v>
      </c>
      <c r="F113">
        <v>56.7</v>
      </c>
      <c r="G113">
        <v>3075</v>
      </c>
      <c r="H113">
        <v>120</v>
      </c>
      <c r="I113">
        <v>3.46</v>
      </c>
      <c r="J113">
        <v>2.19</v>
      </c>
      <c r="K113">
        <v>8.4</v>
      </c>
      <c r="L113">
        <v>95</v>
      </c>
      <c r="M113">
        <v>5000</v>
      </c>
      <c r="N113">
        <v>19</v>
      </c>
      <c r="O113">
        <v>24</v>
      </c>
      <c r="P113">
        <v>15580</v>
      </c>
      <c r="Q113" t="s">
        <v>0</v>
      </c>
      <c r="R113" t="s">
        <v>1</v>
      </c>
      <c r="S113" t="s">
        <v>5</v>
      </c>
      <c r="T113" t="s">
        <v>3</v>
      </c>
      <c r="U113" t="s">
        <v>4</v>
      </c>
    </row>
    <row r="114" spans="1:21">
      <c r="A114">
        <v>113</v>
      </c>
      <c r="B114">
        <v>0</v>
      </c>
      <c r="C114">
        <v>107.9</v>
      </c>
      <c r="D114">
        <v>186.7</v>
      </c>
      <c r="E114">
        <v>68.400000000000006</v>
      </c>
      <c r="F114">
        <v>56.7</v>
      </c>
      <c r="G114">
        <v>3252</v>
      </c>
      <c r="H114">
        <v>152</v>
      </c>
      <c r="I114">
        <v>3.7</v>
      </c>
      <c r="J114">
        <v>3.52</v>
      </c>
      <c r="K114">
        <v>21</v>
      </c>
      <c r="L114">
        <v>95</v>
      </c>
      <c r="M114">
        <v>4150</v>
      </c>
      <c r="N114">
        <v>28</v>
      </c>
      <c r="O114">
        <v>33</v>
      </c>
      <c r="P114">
        <v>16900</v>
      </c>
      <c r="Q114" t="s">
        <v>9</v>
      </c>
      <c r="R114" t="s">
        <v>8</v>
      </c>
      <c r="S114" t="s">
        <v>5</v>
      </c>
      <c r="T114" t="s">
        <v>3</v>
      </c>
      <c r="U114" t="s">
        <v>4</v>
      </c>
    </row>
    <row r="115" spans="1:21">
      <c r="A115">
        <v>114</v>
      </c>
      <c r="B115">
        <v>0</v>
      </c>
      <c r="C115">
        <v>114.2</v>
      </c>
      <c r="D115">
        <v>198.9</v>
      </c>
      <c r="E115">
        <v>68.400000000000006</v>
      </c>
      <c r="F115">
        <v>56.7</v>
      </c>
      <c r="G115">
        <v>3285</v>
      </c>
      <c r="H115">
        <v>120</v>
      </c>
      <c r="I115">
        <v>3.46</v>
      </c>
      <c r="J115">
        <v>2.19</v>
      </c>
      <c r="K115">
        <v>8.4</v>
      </c>
      <c r="L115">
        <v>95</v>
      </c>
      <c r="M115">
        <v>5000</v>
      </c>
      <c r="N115">
        <v>19</v>
      </c>
      <c r="O115">
        <v>24</v>
      </c>
      <c r="P115">
        <v>16695</v>
      </c>
      <c r="Q115" t="s">
        <v>0</v>
      </c>
      <c r="R115" t="s">
        <v>1</v>
      </c>
      <c r="S115" t="s">
        <v>5</v>
      </c>
      <c r="T115" t="s">
        <v>3</v>
      </c>
      <c r="U115" t="s">
        <v>4</v>
      </c>
    </row>
    <row r="116" spans="1:21">
      <c r="A116">
        <v>115</v>
      </c>
      <c r="B116">
        <v>0</v>
      </c>
      <c r="C116">
        <v>114.2</v>
      </c>
      <c r="D116">
        <v>198.9</v>
      </c>
      <c r="E116">
        <v>68.400000000000006</v>
      </c>
      <c r="F116">
        <v>58.7</v>
      </c>
      <c r="G116">
        <v>3485</v>
      </c>
      <c r="H116">
        <v>152</v>
      </c>
      <c r="I116">
        <v>3.7</v>
      </c>
      <c r="J116">
        <v>3.52</v>
      </c>
      <c r="K116">
        <v>21</v>
      </c>
      <c r="L116">
        <v>95</v>
      </c>
      <c r="M116">
        <v>4150</v>
      </c>
      <c r="N116">
        <v>25</v>
      </c>
      <c r="O116">
        <v>25</v>
      </c>
      <c r="P116">
        <v>17075</v>
      </c>
      <c r="Q116" t="s">
        <v>9</v>
      </c>
      <c r="R116" t="s">
        <v>8</v>
      </c>
      <c r="S116" t="s">
        <v>5</v>
      </c>
      <c r="T116" t="s">
        <v>3</v>
      </c>
      <c r="U116" t="s">
        <v>4</v>
      </c>
    </row>
    <row r="117" spans="1:21">
      <c r="A117">
        <v>116</v>
      </c>
      <c r="B117">
        <v>0</v>
      </c>
      <c r="C117">
        <v>107.9</v>
      </c>
      <c r="D117">
        <v>186.7</v>
      </c>
      <c r="E117">
        <v>68.400000000000006</v>
      </c>
      <c r="F117">
        <v>56.7</v>
      </c>
      <c r="G117">
        <v>3075</v>
      </c>
      <c r="H117">
        <v>120</v>
      </c>
      <c r="I117">
        <v>3.46</v>
      </c>
      <c r="J117">
        <v>3.19</v>
      </c>
      <c r="K117">
        <v>8.4</v>
      </c>
      <c r="L117">
        <v>97</v>
      </c>
      <c r="M117">
        <v>5000</v>
      </c>
      <c r="N117">
        <v>19</v>
      </c>
      <c r="O117">
        <v>24</v>
      </c>
      <c r="P117">
        <v>16630</v>
      </c>
      <c r="Q117" t="s">
        <v>0</v>
      </c>
      <c r="R117" t="s">
        <v>1</v>
      </c>
      <c r="S117" t="s">
        <v>5</v>
      </c>
      <c r="T117" t="s">
        <v>3</v>
      </c>
      <c r="U117" t="s">
        <v>4</v>
      </c>
    </row>
    <row r="118" spans="1:21">
      <c r="A118">
        <v>117</v>
      </c>
      <c r="B118">
        <v>0</v>
      </c>
      <c r="C118">
        <v>107.9</v>
      </c>
      <c r="D118">
        <v>186.7</v>
      </c>
      <c r="E118">
        <v>68.400000000000006</v>
      </c>
      <c r="F118">
        <v>56.7</v>
      </c>
      <c r="G118">
        <v>3252</v>
      </c>
      <c r="H118">
        <v>152</v>
      </c>
      <c r="I118">
        <v>3.7</v>
      </c>
      <c r="J118">
        <v>3.52</v>
      </c>
      <c r="K118">
        <v>21</v>
      </c>
      <c r="L118">
        <v>95</v>
      </c>
      <c r="M118">
        <v>4150</v>
      </c>
      <c r="N118">
        <v>28</v>
      </c>
      <c r="O118">
        <v>33</v>
      </c>
      <c r="P118">
        <v>17950</v>
      </c>
      <c r="Q118" t="s">
        <v>9</v>
      </c>
      <c r="R118" t="s">
        <v>8</v>
      </c>
      <c r="S118" t="s">
        <v>5</v>
      </c>
      <c r="T118" t="s">
        <v>3</v>
      </c>
      <c r="U118" t="s">
        <v>4</v>
      </c>
    </row>
    <row r="119" spans="1:21">
      <c r="A119">
        <v>118</v>
      </c>
      <c r="B119">
        <v>0</v>
      </c>
      <c r="C119">
        <v>108</v>
      </c>
      <c r="D119">
        <v>186.7</v>
      </c>
      <c r="E119">
        <v>68.3</v>
      </c>
      <c r="F119">
        <v>56</v>
      </c>
      <c r="G119">
        <v>3130</v>
      </c>
      <c r="H119">
        <v>134</v>
      </c>
      <c r="I119">
        <v>3.61</v>
      </c>
      <c r="J119">
        <v>3.21</v>
      </c>
      <c r="K119">
        <v>7</v>
      </c>
      <c r="L119">
        <v>142</v>
      </c>
      <c r="M119">
        <v>5600</v>
      </c>
      <c r="N119">
        <v>18</v>
      </c>
      <c r="O119">
        <v>24</v>
      </c>
      <c r="P119">
        <v>18150</v>
      </c>
      <c r="Q119" t="s">
        <v>0</v>
      </c>
      <c r="R119" t="s">
        <v>8</v>
      </c>
      <c r="S119" t="s">
        <v>5</v>
      </c>
      <c r="T119" t="s">
        <v>3</v>
      </c>
      <c r="U119" t="s">
        <v>4</v>
      </c>
    </row>
    <row r="120" spans="1:21">
      <c r="A120">
        <v>119</v>
      </c>
      <c r="B120">
        <v>1</v>
      </c>
      <c r="C120">
        <v>93.7</v>
      </c>
      <c r="D120">
        <v>157.30000000000001</v>
      </c>
      <c r="E120">
        <v>63.8</v>
      </c>
      <c r="F120">
        <v>50.8</v>
      </c>
      <c r="G120">
        <v>1918</v>
      </c>
      <c r="H120">
        <v>90</v>
      </c>
      <c r="I120">
        <v>2.97</v>
      </c>
      <c r="J120">
        <v>3.23</v>
      </c>
      <c r="K120">
        <v>9.4</v>
      </c>
      <c r="L120">
        <v>68</v>
      </c>
      <c r="M120">
        <v>5500</v>
      </c>
      <c r="N120">
        <v>37</v>
      </c>
      <c r="O120">
        <v>41</v>
      </c>
      <c r="P120">
        <v>5572</v>
      </c>
      <c r="Q120" t="s">
        <v>0</v>
      </c>
      <c r="R120" t="s">
        <v>1</v>
      </c>
      <c r="S120" t="s">
        <v>2</v>
      </c>
      <c r="T120" t="s">
        <v>6</v>
      </c>
      <c r="U120" t="s">
        <v>4</v>
      </c>
    </row>
    <row r="121" spans="1:21">
      <c r="A121">
        <v>120</v>
      </c>
      <c r="B121">
        <v>1</v>
      </c>
      <c r="C121">
        <v>93.7</v>
      </c>
      <c r="D121">
        <v>157.30000000000001</v>
      </c>
      <c r="E121">
        <v>63.8</v>
      </c>
      <c r="F121">
        <v>50.8</v>
      </c>
      <c r="G121">
        <v>2128</v>
      </c>
      <c r="H121">
        <v>98</v>
      </c>
      <c r="I121">
        <v>3.03</v>
      </c>
      <c r="J121">
        <v>3.39</v>
      </c>
      <c r="K121">
        <v>7.6</v>
      </c>
      <c r="L121">
        <v>102</v>
      </c>
      <c r="M121">
        <v>5500</v>
      </c>
      <c r="N121">
        <v>24</v>
      </c>
      <c r="O121">
        <v>30</v>
      </c>
      <c r="P121">
        <v>7957</v>
      </c>
      <c r="Q121" t="s">
        <v>0</v>
      </c>
      <c r="R121" t="s">
        <v>8</v>
      </c>
      <c r="S121" t="s">
        <v>2</v>
      </c>
      <c r="T121" t="s">
        <v>6</v>
      </c>
      <c r="U121" t="s">
        <v>4</v>
      </c>
    </row>
    <row r="122" spans="1:21">
      <c r="A122">
        <v>121</v>
      </c>
      <c r="B122">
        <v>1</v>
      </c>
      <c r="C122">
        <v>93.7</v>
      </c>
      <c r="D122">
        <v>157.30000000000001</v>
      </c>
      <c r="E122">
        <v>63.8</v>
      </c>
      <c r="F122">
        <v>50.6</v>
      </c>
      <c r="G122">
        <v>1967</v>
      </c>
      <c r="H122">
        <v>90</v>
      </c>
      <c r="I122">
        <v>2.97</v>
      </c>
      <c r="J122">
        <v>3.23</v>
      </c>
      <c r="K122">
        <v>9.4</v>
      </c>
      <c r="L122">
        <v>68</v>
      </c>
      <c r="M122">
        <v>5500</v>
      </c>
      <c r="N122">
        <v>31</v>
      </c>
      <c r="O122">
        <v>38</v>
      </c>
      <c r="P122">
        <v>6229</v>
      </c>
      <c r="Q122" t="s">
        <v>0</v>
      </c>
      <c r="R122" t="s">
        <v>1</v>
      </c>
      <c r="S122" t="s">
        <v>5</v>
      </c>
      <c r="T122" t="s">
        <v>6</v>
      </c>
      <c r="U122" t="s">
        <v>4</v>
      </c>
    </row>
    <row r="123" spans="1:21">
      <c r="A123">
        <v>122</v>
      </c>
      <c r="B123">
        <v>1</v>
      </c>
      <c r="C123">
        <v>93.7</v>
      </c>
      <c r="D123">
        <v>167.3</v>
      </c>
      <c r="E123">
        <v>63.8</v>
      </c>
      <c r="F123">
        <v>50.8</v>
      </c>
      <c r="G123">
        <v>1989</v>
      </c>
      <c r="H123">
        <v>90</v>
      </c>
      <c r="I123">
        <v>2.97</v>
      </c>
      <c r="J123">
        <v>3.23</v>
      </c>
      <c r="K123">
        <v>9.4</v>
      </c>
      <c r="L123">
        <v>68</v>
      </c>
      <c r="M123">
        <v>5500</v>
      </c>
      <c r="N123">
        <v>31</v>
      </c>
      <c r="O123">
        <v>38</v>
      </c>
      <c r="P123">
        <v>6692</v>
      </c>
      <c r="Q123" t="s">
        <v>0</v>
      </c>
      <c r="R123" t="s">
        <v>1</v>
      </c>
      <c r="S123" t="s">
        <v>5</v>
      </c>
      <c r="T123" t="s">
        <v>6</v>
      </c>
      <c r="U123" t="s">
        <v>4</v>
      </c>
    </row>
    <row r="124" spans="1:21">
      <c r="A124">
        <v>123</v>
      </c>
      <c r="B124">
        <v>1</v>
      </c>
      <c r="C124">
        <v>93.7</v>
      </c>
      <c r="D124">
        <v>167.3</v>
      </c>
      <c r="E124">
        <v>63.8</v>
      </c>
      <c r="F124">
        <v>50.8</v>
      </c>
      <c r="G124">
        <v>2191</v>
      </c>
      <c r="H124">
        <v>98</v>
      </c>
      <c r="I124">
        <v>2.97</v>
      </c>
      <c r="J124">
        <v>3.23</v>
      </c>
      <c r="K124">
        <v>9.4</v>
      </c>
      <c r="L124">
        <v>68</v>
      </c>
      <c r="M124">
        <v>5500</v>
      </c>
      <c r="N124">
        <v>31</v>
      </c>
      <c r="O124">
        <v>38</v>
      </c>
      <c r="P124">
        <v>7609</v>
      </c>
      <c r="Q124" t="s">
        <v>0</v>
      </c>
      <c r="R124" t="s">
        <v>1</v>
      </c>
      <c r="S124" t="s">
        <v>5</v>
      </c>
      <c r="T124" t="s">
        <v>6</v>
      </c>
      <c r="U124" t="s">
        <v>4</v>
      </c>
    </row>
    <row r="125" spans="1:21">
      <c r="A125">
        <v>124</v>
      </c>
      <c r="B125">
        <v>-1</v>
      </c>
      <c r="C125">
        <v>103.3</v>
      </c>
      <c r="D125">
        <v>174.6</v>
      </c>
      <c r="E125">
        <v>64.599999999999994</v>
      </c>
      <c r="F125">
        <v>59.8</v>
      </c>
      <c r="G125">
        <v>2535</v>
      </c>
      <c r="H125">
        <v>122</v>
      </c>
      <c r="I125">
        <v>3.35</v>
      </c>
      <c r="J125">
        <v>3.46</v>
      </c>
      <c r="K125">
        <v>8.5</v>
      </c>
      <c r="L125">
        <v>88</v>
      </c>
      <c r="M125">
        <v>5000</v>
      </c>
      <c r="N125">
        <v>24</v>
      </c>
      <c r="O125">
        <v>30</v>
      </c>
      <c r="P125">
        <v>8921</v>
      </c>
      <c r="Q125" t="s">
        <v>0</v>
      </c>
      <c r="R125" t="s">
        <v>1</v>
      </c>
      <c r="S125" t="s">
        <v>5</v>
      </c>
      <c r="T125" t="s">
        <v>6</v>
      </c>
      <c r="U125" t="s">
        <v>4</v>
      </c>
    </row>
    <row r="126" spans="1:21">
      <c r="A126">
        <v>125</v>
      </c>
      <c r="B126">
        <v>3</v>
      </c>
      <c r="C126">
        <v>95.9</v>
      </c>
      <c r="D126">
        <v>173.2</v>
      </c>
      <c r="E126">
        <v>66.3</v>
      </c>
      <c r="F126">
        <v>50.2</v>
      </c>
      <c r="G126">
        <v>2818</v>
      </c>
      <c r="H126">
        <v>156</v>
      </c>
      <c r="I126">
        <v>3.59</v>
      </c>
      <c r="J126">
        <v>3.86</v>
      </c>
      <c r="K126">
        <v>7</v>
      </c>
      <c r="L126">
        <v>145</v>
      </c>
      <c r="M126">
        <v>5000</v>
      </c>
      <c r="N126">
        <v>19</v>
      </c>
      <c r="O126">
        <v>24</v>
      </c>
      <c r="P126">
        <v>12764</v>
      </c>
      <c r="Q126" t="s">
        <v>0</v>
      </c>
      <c r="R126" t="s">
        <v>8</v>
      </c>
      <c r="S126" t="s">
        <v>2</v>
      </c>
      <c r="T126" t="s">
        <v>3</v>
      </c>
      <c r="U126" t="s">
        <v>4</v>
      </c>
    </row>
    <row r="127" spans="1:21">
      <c r="A127">
        <v>126</v>
      </c>
      <c r="B127">
        <v>3</v>
      </c>
      <c r="C127">
        <v>94.5</v>
      </c>
      <c r="D127">
        <v>168.9</v>
      </c>
      <c r="E127">
        <v>68.3</v>
      </c>
      <c r="F127">
        <v>50.2</v>
      </c>
      <c r="G127">
        <v>2778</v>
      </c>
      <c r="H127">
        <v>151</v>
      </c>
      <c r="I127">
        <v>3.94</v>
      </c>
      <c r="J127">
        <v>3.11</v>
      </c>
      <c r="K127">
        <v>9.5</v>
      </c>
      <c r="L127">
        <v>143</v>
      </c>
      <c r="M127">
        <v>5500</v>
      </c>
      <c r="N127">
        <v>19</v>
      </c>
      <c r="O127">
        <v>27</v>
      </c>
      <c r="P127">
        <v>22018</v>
      </c>
      <c r="Q127" t="s">
        <v>0</v>
      </c>
      <c r="R127" t="s">
        <v>1</v>
      </c>
      <c r="S127" t="s">
        <v>2</v>
      </c>
      <c r="T127" t="s">
        <v>3</v>
      </c>
      <c r="U127" t="s">
        <v>4</v>
      </c>
    </row>
    <row r="128" spans="1:21">
      <c r="A128">
        <v>127</v>
      </c>
      <c r="B128">
        <v>3</v>
      </c>
      <c r="C128">
        <v>89.5</v>
      </c>
      <c r="D128">
        <v>168.9</v>
      </c>
      <c r="E128">
        <v>65</v>
      </c>
      <c r="F128">
        <v>51.6</v>
      </c>
      <c r="G128">
        <v>2756</v>
      </c>
      <c r="H128">
        <v>194</v>
      </c>
      <c r="I128">
        <v>3.74</v>
      </c>
      <c r="J128">
        <v>2.9</v>
      </c>
      <c r="K128">
        <v>9.5</v>
      </c>
      <c r="L128">
        <v>207</v>
      </c>
      <c r="M128">
        <v>5900</v>
      </c>
      <c r="N128">
        <v>17</v>
      </c>
      <c r="O128">
        <v>25</v>
      </c>
      <c r="P128">
        <v>32528</v>
      </c>
      <c r="Q128" t="s">
        <v>0</v>
      </c>
      <c r="R128" t="s">
        <v>1</v>
      </c>
      <c r="S128" t="s">
        <v>2</v>
      </c>
      <c r="T128" t="s">
        <v>3</v>
      </c>
      <c r="U128" t="s">
        <v>10</v>
      </c>
    </row>
    <row r="129" spans="1:21">
      <c r="A129">
        <v>128</v>
      </c>
      <c r="B129">
        <v>3</v>
      </c>
      <c r="C129">
        <v>89.5</v>
      </c>
      <c r="D129">
        <v>168.9</v>
      </c>
      <c r="E129">
        <v>65</v>
      </c>
      <c r="F129">
        <v>51.6</v>
      </c>
      <c r="G129">
        <v>2756</v>
      </c>
      <c r="H129">
        <v>194</v>
      </c>
      <c r="I129">
        <v>3.74</v>
      </c>
      <c r="J129">
        <v>2.9</v>
      </c>
      <c r="K129">
        <v>9.5</v>
      </c>
      <c r="L129">
        <v>207</v>
      </c>
      <c r="M129">
        <v>5900</v>
      </c>
      <c r="N129">
        <v>17</v>
      </c>
      <c r="O129">
        <v>25</v>
      </c>
      <c r="P129">
        <v>34028</v>
      </c>
      <c r="Q129" t="s">
        <v>0</v>
      </c>
      <c r="R129" t="s">
        <v>1</v>
      </c>
      <c r="S129" t="s">
        <v>2</v>
      </c>
      <c r="T129" t="s">
        <v>3</v>
      </c>
      <c r="U129" t="s">
        <v>10</v>
      </c>
    </row>
    <row r="130" spans="1:21">
      <c r="A130">
        <v>129</v>
      </c>
      <c r="B130">
        <v>3</v>
      </c>
      <c r="C130">
        <v>89.5</v>
      </c>
      <c r="D130">
        <v>168.9</v>
      </c>
      <c r="E130">
        <v>65</v>
      </c>
      <c r="F130">
        <v>51.6</v>
      </c>
      <c r="G130">
        <v>2800</v>
      </c>
      <c r="H130">
        <v>194</v>
      </c>
      <c r="I130">
        <v>3.74</v>
      </c>
      <c r="J130">
        <v>2.9</v>
      </c>
      <c r="K130">
        <v>9.5</v>
      </c>
      <c r="L130">
        <v>207</v>
      </c>
      <c r="M130">
        <v>5900</v>
      </c>
      <c r="N130">
        <v>17</v>
      </c>
      <c r="O130">
        <v>25</v>
      </c>
      <c r="P130">
        <v>37028</v>
      </c>
      <c r="Q130" t="s">
        <v>0</v>
      </c>
      <c r="R130" t="s">
        <v>1</v>
      </c>
      <c r="S130" t="s">
        <v>2</v>
      </c>
      <c r="T130" t="s">
        <v>3</v>
      </c>
      <c r="U130" t="s">
        <v>10</v>
      </c>
    </row>
    <row r="131" spans="1:21">
      <c r="A131">
        <v>130</v>
      </c>
      <c r="B131">
        <v>1</v>
      </c>
      <c r="C131">
        <v>98.4</v>
      </c>
      <c r="D131">
        <v>175.7</v>
      </c>
      <c r="E131">
        <v>72.3</v>
      </c>
      <c r="F131">
        <v>50.5</v>
      </c>
      <c r="G131">
        <v>3366</v>
      </c>
      <c r="H131">
        <v>203</v>
      </c>
      <c r="I131">
        <v>3.94</v>
      </c>
      <c r="J131">
        <v>3.11</v>
      </c>
      <c r="K131">
        <v>10</v>
      </c>
      <c r="L131">
        <v>288</v>
      </c>
      <c r="M131">
        <v>5750</v>
      </c>
      <c r="N131">
        <v>17</v>
      </c>
      <c r="O131">
        <v>28</v>
      </c>
      <c r="P131">
        <v>31400.5</v>
      </c>
      <c r="Q131" t="s">
        <v>0</v>
      </c>
      <c r="R131" t="s">
        <v>1</v>
      </c>
      <c r="S131" t="s">
        <v>2</v>
      </c>
      <c r="T131" t="s">
        <v>3</v>
      </c>
      <c r="U131" t="s">
        <v>4</v>
      </c>
    </row>
    <row r="132" spans="1:21">
      <c r="A132">
        <v>131</v>
      </c>
      <c r="B132">
        <v>0</v>
      </c>
      <c r="C132">
        <v>96.1</v>
      </c>
      <c r="D132">
        <v>181.5</v>
      </c>
      <c r="E132">
        <v>66.5</v>
      </c>
      <c r="F132">
        <v>55.2</v>
      </c>
      <c r="G132">
        <v>2579</v>
      </c>
      <c r="H132">
        <v>132</v>
      </c>
      <c r="I132">
        <v>3.46</v>
      </c>
      <c r="J132">
        <v>3.9</v>
      </c>
      <c r="K132">
        <v>8.6999999999999993</v>
      </c>
      <c r="L132">
        <v>90</v>
      </c>
      <c r="M132">
        <v>5100</v>
      </c>
      <c r="N132">
        <v>23</v>
      </c>
      <c r="O132">
        <v>31</v>
      </c>
      <c r="P132">
        <v>9295</v>
      </c>
      <c r="Q132" t="s">
        <v>0</v>
      </c>
      <c r="R132" t="s">
        <v>1</v>
      </c>
      <c r="S132" t="s">
        <v>5</v>
      </c>
      <c r="T132" t="s">
        <v>6</v>
      </c>
      <c r="U132" t="s">
        <v>4</v>
      </c>
    </row>
    <row r="133" spans="1:21">
      <c r="A133">
        <v>132</v>
      </c>
      <c r="B133">
        <v>2</v>
      </c>
      <c r="C133">
        <v>96.1</v>
      </c>
      <c r="D133">
        <v>176.8</v>
      </c>
      <c r="E133">
        <v>66.599999999999994</v>
      </c>
      <c r="F133">
        <v>50.5</v>
      </c>
      <c r="G133">
        <v>2460</v>
      </c>
      <c r="H133">
        <v>132</v>
      </c>
      <c r="I133">
        <v>3.46</v>
      </c>
      <c r="J133">
        <v>3.9</v>
      </c>
      <c r="K133">
        <v>8.6999999999999993</v>
      </c>
      <c r="L133">
        <v>90</v>
      </c>
      <c r="M133">
        <v>5100</v>
      </c>
      <c r="N133">
        <v>23</v>
      </c>
      <c r="O133">
        <v>31</v>
      </c>
      <c r="P133">
        <v>9895</v>
      </c>
      <c r="Q133" t="s">
        <v>0</v>
      </c>
      <c r="R133" t="s">
        <v>1</v>
      </c>
      <c r="S133" t="s">
        <v>2</v>
      </c>
      <c r="T133" t="s">
        <v>6</v>
      </c>
      <c r="U133" t="s">
        <v>4</v>
      </c>
    </row>
    <row r="134" spans="1:21">
      <c r="A134">
        <v>133</v>
      </c>
      <c r="B134">
        <v>3</v>
      </c>
      <c r="C134">
        <v>99.1</v>
      </c>
      <c r="D134">
        <v>186.6</v>
      </c>
      <c r="E134">
        <v>66.5</v>
      </c>
      <c r="F134">
        <v>56.1</v>
      </c>
      <c r="G134">
        <v>2658</v>
      </c>
      <c r="H134">
        <v>121</v>
      </c>
      <c r="I134">
        <v>3.54</v>
      </c>
      <c r="J134">
        <v>3.07</v>
      </c>
      <c r="K134">
        <v>9.31</v>
      </c>
      <c r="L134">
        <v>110</v>
      </c>
      <c r="M134">
        <v>5250</v>
      </c>
      <c r="N134">
        <v>21</v>
      </c>
      <c r="O134">
        <v>28</v>
      </c>
      <c r="P134">
        <v>11850</v>
      </c>
      <c r="Q134" t="s">
        <v>0</v>
      </c>
      <c r="R134" t="s">
        <v>1</v>
      </c>
      <c r="S134" t="s">
        <v>2</v>
      </c>
      <c r="T134" t="s">
        <v>6</v>
      </c>
      <c r="U134" t="s">
        <v>4</v>
      </c>
    </row>
    <row r="135" spans="1:21">
      <c r="A135">
        <v>134</v>
      </c>
      <c r="B135">
        <v>2</v>
      </c>
      <c r="C135">
        <v>99.1</v>
      </c>
      <c r="D135">
        <v>186.6</v>
      </c>
      <c r="E135">
        <v>66.5</v>
      </c>
      <c r="F135">
        <v>56.1</v>
      </c>
      <c r="G135">
        <v>2695</v>
      </c>
      <c r="H135">
        <v>121</v>
      </c>
      <c r="I135">
        <v>3.54</v>
      </c>
      <c r="J135">
        <v>3.07</v>
      </c>
      <c r="K135">
        <v>9.3000000000000007</v>
      </c>
      <c r="L135">
        <v>110</v>
      </c>
      <c r="M135">
        <v>5250</v>
      </c>
      <c r="N135">
        <v>21</v>
      </c>
      <c r="O135">
        <v>28</v>
      </c>
      <c r="P135">
        <v>12170</v>
      </c>
      <c r="Q135" t="s">
        <v>0</v>
      </c>
      <c r="R135" t="s">
        <v>1</v>
      </c>
      <c r="S135" t="s">
        <v>5</v>
      </c>
      <c r="T135" t="s">
        <v>6</v>
      </c>
      <c r="U135" t="s">
        <v>4</v>
      </c>
    </row>
    <row r="136" spans="1:21">
      <c r="A136">
        <v>135</v>
      </c>
      <c r="B136">
        <v>3</v>
      </c>
      <c r="C136">
        <v>99.1</v>
      </c>
      <c r="D136">
        <v>186.6</v>
      </c>
      <c r="E136">
        <v>66.5</v>
      </c>
      <c r="F136">
        <v>56.1</v>
      </c>
      <c r="G136">
        <v>2707</v>
      </c>
      <c r="H136">
        <v>121</v>
      </c>
      <c r="I136">
        <v>2.54</v>
      </c>
      <c r="J136">
        <v>2.0699999999999998</v>
      </c>
      <c r="K136">
        <v>9.3000000000000007</v>
      </c>
      <c r="L136">
        <v>110</v>
      </c>
      <c r="M136">
        <v>5250</v>
      </c>
      <c r="N136">
        <v>21</v>
      </c>
      <c r="O136">
        <v>28</v>
      </c>
      <c r="P136">
        <v>15040</v>
      </c>
      <c r="Q136" t="s">
        <v>0</v>
      </c>
      <c r="R136" t="s">
        <v>1</v>
      </c>
      <c r="S136" t="s">
        <v>2</v>
      </c>
      <c r="T136" t="s">
        <v>6</v>
      </c>
      <c r="U136" t="s">
        <v>4</v>
      </c>
    </row>
    <row r="137" spans="1:21">
      <c r="A137">
        <v>136</v>
      </c>
      <c r="B137">
        <v>2</v>
      </c>
      <c r="C137">
        <v>99.1</v>
      </c>
      <c r="D137">
        <v>186.6</v>
      </c>
      <c r="E137">
        <v>66.5</v>
      </c>
      <c r="F137">
        <v>56.1</v>
      </c>
      <c r="G137">
        <v>2758</v>
      </c>
      <c r="H137">
        <v>121</v>
      </c>
      <c r="I137">
        <v>3.54</v>
      </c>
      <c r="J137">
        <v>3.07</v>
      </c>
      <c r="K137">
        <v>9.3000000000000007</v>
      </c>
      <c r="L137">
        <v>110</v>
      </c>
      <c r="M137">
        <v>5250</v>
      </c>
      <c r="N137">
        <v>21</v>
      </c>
      <c r="O137">
        <v>28</v>
      </c>
      <c r="P137">
        <v>15510</v>
      </c>
      <c r="Q137" t="s">
        <v>0</v>
      </c>
      <c r="R137" t="s">
        <v>1</v>
      </c>
      <c r="S137" t="s">
        <v>5</v>
      </c>
      <c r="T137" t="s">
        <v>6</v>
      </c>
      <c r="U137" t="s">
        <v>4</v>
      </c>
    </row>
    <row r="138" spans="1:21">
      <c r="A138">
        <v>137</v>
      </c>
      <c r="B138">
        <v>3</v>
      </c>
      <c r="C138">
        <v>99.1</v>
      </c>
      <c r="D138">
        <v>186.6</v>
      </c>
      <c r="E138">
        <v>66.5</v>
      </c>
      <c r="F138">
        <v>56.1</v>
      </c>
      <c r="G138">
        <v>2808</v>
      </c>
      <c r="H138">
        <v>121</v>
      </c>
      <c r="I138">
        <v>3.54</v>
      </c>
      <c r="J138">
        <v>3.07</v>
      </c>
      <c r="K138">
        <v>9</v>
      </c>
      <c r="L138">
        <v>160</v>
      </c>
      <c r="M138">
        <v>5500</v>
      </c>
      <c r="N138">
        <v>19</v>
      </c>
      <c r="O138">
        <v>26</v>
      </c>
      <c r="P138">
        <v>18150</v>
      </c>
      <c r="Q138" t="s">
        <v>0</v>
      </c>
      <c r="R138" t="s">
        <v>8</v>
      </c>
      <c r="S138" t="s">
        <v>2</v>
      </c>
      <c r="T138" t="s">
        <v>6</v>
      </c>
      <c r="U138" t="s">
        <v>4</v>
      </c>
    </row>
    <row r="139" spans="1:21">
      <c r="A139">
        <v>138</v>
      </c>
      <c r="B139">
        <v>2</v>
      </c>
      <c r="C139">
        <v>99.1</v>
      </c>
      <c r="D139">
        <v>186.6</v>
      </c>
      <c r="E139">
        <v>66.5</v>
      </c>
      <c r="F139">
        <v>56.1</v>
      </c>
      <c r="G139">
        <v>2847</v>
      </c>
      <c r="H139">
        <v>121</v>
      </c>
      <c r="I139">
        <v>3.54</v>
      </c>
      <c r="J139">
        <v>3.07</v>
      </c>
      <c r="K139">
        <v>9</v>
      </c>
      <c r="L139">
        <v>160</v>
      </c>
      <c r="M139">
        <v>5500</v>
      </c>
      <c r="N139">
        <v>19</v>
      </c>
      <c r="O139">
        <v>26</v>
      </c>
      <c r="P139">
        <v>18620</v>
      </c>
      <c r="Q139" t="s">
        <v>0</v>
      </c>
      <c r="R139" t="s">
        <v>8</v>
      </c>
      <c r="S139" t="s">
        <v>5</v>
      </c>
      <c r="T139" t="s">
        <v>6</v>
      </c>
      <c r="U139" t="s">
        <v>4</v>
      </c>
    </row>
    <row r="140" spans="1:21">
      <c r="A140">
        <v>139</v>
      </c>
      <c r="B140">
        <v>2</v>
      </c>
      <c r="C140">
        <v>93.7</v>
      </c>
      <c r="D140">
        <v>156.9</v>
      </c>
      <c r="E140">
        <v>63.4</v>
      </c>
      <c r="F140">
        <v>53.7</v>
      </c>
      <c r="G140">
        <v>2050</v>
      </c>
      <c r="H140">
        <v>97</v>
      </c>
      <c r="I140">
        <v>3.62</v>
      </c>
      <c r="J140">
        <v>2.36</v>
      </c>
      <c r="K140">
        <v>9</v>
      </c>
      <c r="L140">
        <v>69</v>
      </c>
      <c r="M140">
        <v>4900</v>
      </c>
      <c r="N140">
        <v>31</v>
      </c>
      <c r="O140">
        <v>36</v>
      </c>
      <c r="P140">
        <v>5118</v>
      </c>
      <c r="Q140" t="s">
        <v>0</v>
      </c>
      <c r="R140" t="s">
        <v>1</v>
      </c>
      <c r="S140" t="s">
        <v>2</v>
      </c>
      <c r="T140" t="s">
        <v>6</v>
      </c>
      <c r="U140" t="s">
        <v>4</v>
      </c>
    </row>
    <row r="141" spans="1:21">
      <c r="A141">
        <v>140</v>
      </c>
      <c r="B141">
        <v>2</v>
      </c>
      <c r="C141">
        <v>93.7</v>
      </c>
      <c r="D141">
        <v>157.9</v>
      </c>
      <c r="E141">
        <v>63.6</v>
      </c>
      <c r="F141">
        <v>53.7</v>
      </c>
      <c r="G141">
        <v>2120</v>
      </c>
      <c r="H141">
        <v>108</v>
      </c>
      <c r="I141">
        <v>3.62</v>
      </c>
      <c r="J141">
        <v>2.64</v>
      </c>
      <c r="K141">
        <v>8.6999999999999993</v>
      </c>
      <c r="L141">
        <v>73</v>
      </c>
      <c r="M141">
        <v>4400</v>
      </c>
      <c r="N141">
        <v>26</v>
      </c>
      <c r="O141">
        <v>31</v>
      </c>
      <c r="P141">
        <v>7053</v>
      </c>
      <c r="Q141" t="s">
        <v>0</v>
      </c>
      <c r="R141" t="s">
        <v>1</v>
      </c>
      <c r="S141" t="s">
        <v>2</v>
      </c>
      <c r="T141" t="s">
        <v>6</v>
      </c>
      <c r="U141" t="s">
        <v>4</v>
      </c>
    </row>
    <row r="142" spans="1:21">
      <c r="A142">
        <v>141</v>
      </c>
      <c r="B142">
        <v>2</v>
      </c>
      <c r="C142">
        <v>93.3</v>
      </c>
      <c r="D142">
        <v>157.30000000000001</v>
      </c>
      <c r="E142">
        <v>63.8</v>
      </c>
      <c r="F142">
        <v>55.7</v>
      </c>
      <c r="G142">
        <v>2240</v>
      </c>
      <c r="H142">
        <v>108</v>
      </c>
      <c r="I142">
        <v>3.62</v>
      </c>
      <c r="J142">
        <v>2.64</v>
      </c>
      <c r="K142">
        <v>8.6999999999999993</v>
      </c>
      <c r="L142">
        <v>73</v>
      </c>
      <c r="M142">
        <v>4400</v>
      </c>
      <c r="N142">
        <v>26</v>
      </c>
      <c r="O142">
        <v>31</v>
      </c>
      <c r="P142">
        <v>7603</v>
      </c>
      <c r="Q142" t="s">
        <v>0</v>
      </c>
      <c r="R142" t="s">
        <v>1</v>
      </c>
      <c r="S142" t="s">
        <v>2</v>
      </c>
      <c r="T142" t="s">
        <v>7</v>
      </c>
      <c r="U142" t="s">
        <v>4</v>
      </c>
    </row>
    <row r="143" spans="1:21">
      <c r="A143">
        <v>142</v>
      </c>
      <c r="B143">
        <v>0</v>
      </c>
      <c r="C143">
        <v>97.2</v>
      </c>
      <c r="D143">
        <v>172</v>
      </c>
      <c r="E143">
        <v>65.400000000000006</v>
      </c>
      <c r="F143">
        <v>52.5</v>
      </c>
      <c r="G143">
        <v>2145</v>
      </c>
      <c r="H143">
        <v>108</v>
      </c>
      <c r="I143">
        <v>3.62</v>
      </c>
      <c r="J143">
        <v>2.64</v>
      </c>
      <c r="K143">
        <v>9.5</v>
      </c>
      <c r="L143">
        <v>82</v>
      </c>
      <c r="M143">
        <v>4800</v>
      </c>
      <c r="N143">
        <v>32</v>
      </c>
      <c r="O143">
        <v>37</v>
      </c>
      <c r="P143">
        <v>7126</v>
      </c>
      <c r="Q143" t="s">
        <v>0</v>
      </c>
      <c r="R143" t="s">
        <v>1</v>
      </c>
      <c r="S143" t="s">
        <v>5</v>
      </c>
      <c r="T143" t="s">
        <v>6</v>
      </c>
      <c r="U143" t="s">
        <v>4</v>
      </c>
    </row>
    <row r="144" spans="1:21">
      <c r="A144">
        <v>143</v>
      </c>
      <c r="B144">
        <v>0</v>
      </c>
      <c r="C144">
        <v>97.2</v>
      </c>
      <c r="D144">
        <v>172</v>
      </c>
      <c r="E144">
        <v>65.400000000000006</v>
      </c>
      <c r="F144">
        <v>52.5</v>
      </c>
      <c r="G144">
        <v>2190</v>
      </c>
      <c r="H144">
        <v>108</v>
      </c>
      <c r="I144">
        <v>3.62</v>
      </c>
      <c r="J144">
        <v>2.64</v>
      </c>
      <c r="K144">
        <v>9.5</v>
      </c>
      <c r="L144">
        <v>82</v>
      </c>
      <c r="M144">
        <v>4400</v>
      </c>
      <c r="N144">
        <v>28</v>
      </c>
      <c r="O144">
        <v>33</v>
      </c>
      <c r="P144">
        <v>7775</v>
      </c>
      <c r="Q144" t="s">
        <v>0</v>
      </c>
      <c r="R144" t="s">
        <v>1</v>
      </c>
      <c r="S144" t="s">
        <v>5</v>
      </c>
      <c r="T144" t="s">
        <v>6</v>
      </c>
      <c r="U144" t="s">
        <v>4</v>
      </c>
    </row>
    <row r="145" spans="1:21">
      <c r="A145">
        <v>144</v>
      </c>
      <c r="B145">
        <v>0</v>
      </c>
      <c r="C145">
        <v>97.2</v>
      </c>
      <c r="D145">
        <v>172</v>
      </c>
      <c r="E145">
        <v>65.400000000000006</v>
      </c>
      <c r="F145">
        <v>52.5</v>
      </c>
      <c r="G145">
        <v>2340</v>
      </c>
      <c r="H145">
        <v>108</v>
      </c>
      <c r="I145">
        <v>3.62</v>
      </c>
      <c r="J145">
        <v>2.64</v>
      </c>
      <c r="K145">
        <v>9</v>
      </c>
      <c r="L145">
        <v>94</v>
      </c>
      <c r="M145">
        <v>5200</v>
      </c>
      <c r="N145">
        <v>26</v>
      </c>
      <c r="O145">
        <v>32</v>
      </c>
      <c r="P145">
        <v>9960</v>
      </c>
      <c r="Q145" t="s">
        <v>0</v>
      </c>
      <c r="R145" t="s">
        <v>1</v>
      </c>
      <c r="S145" t="s">
        <v>5</v>
      </c>
      <c r="T145" t="s">
        <v>6</v>
      </c>
      <c r="U145" t="s">
        <v>4</v>
      </c>
    </row>
    <row r="146" spans="1:21">
      <c r="A146">
        <v>145</v>
      </c>
      <c r="B146">
        <v>0</v>
      </c>
      <c r="C146">
        <v>97</v>
      </c>
      <c r="D146">
        <v>172</v>
      </c>
      <c r="E146">
        <v>65.400000000000006</v>
      </c>
      <c r="F146">
        <v>54.3</v>
      </c>
      <c r="G146">
        <v>2385</v>
      </c>
      <c r="H146">
        <v>108</v>
      </c>
      <c r="I146">
        <v>3.62</v>
      </c>
      <c r="J146">
        <v>2.64</v>
      </c>
      <c r="K146">
        <v>9</v>
      </c>
      <c r="L146">
        <v>82</v>
      </c>
      <c r="M146">
        <v>4800</v>
      </c>
      <c r="N146">
        <v>24</v>
      </c>
      <c r="O146">
        <v>25</v>
      </c>
      <c r="P146">
        <v>9233</v>
      </c>
      <c r="Q146" t="s">
        <v>0</v>
      </c>
      <c r="R146" t="s">
        <v>1</v>
      </c>
      <c r="S146" t="s">
        <v>5</v>
      </c>
      <c r="T146" t="s">
        <v>7</v>
      </c>
      <c r="U146" t="s">
        <v>4</v>
      </c>
    </row>
    <row r="147" spans="1:21">
      <c r="A147">
        <v>146</v>
      </c>
      <c r="B147">
        <v>0</v>
      </c>
      <c r="C147">
        <v>97</v>
      </c>
      <c r="D147">
        <v>172</v>
      </c>
      <c r="E147">
        <v>65.400000000000006</v>
      </c>
      <c r="F147">
        <v>54.3</v>
      </c>
      <c r="G147">
        <v>2510</v>
      </c>
      <c r="H147">
        <v>108</v>
      </c>
      <c r="I147">
        <v>3.62</v>
      </c>
      <c r="J147">
        <v>2.64</v>
      </c>
      <c r="K147">
        <v>7.7</v>
      </c>
      <c r="L147">
        <v>111</v>
      </c>
      <c r="M147">
        <v>4800</v>
      </c>
      <c r="N147">
        <v>24</v>
      </c>
      <c r="O147">
        <v>29</v>
      </c>
      <c r="P147">
        <v>11259</v>
      </c>
      <c r="Q147" t="s">
        <v>0</v>
      </c>
      <c r="R147" t="s">
        <v>8</v>
      </c>
      <c r="S147" t="s">
        <v>5</v>
      </c>
      <c r="T147" t="s">
        <v>7</v>
      </c>
      <c r="U147" t="s">
        <v>4</v>
      </c>
    </row>
    <row r="148" spans="1:21">
      <c r="A148">
        <v>147</v>
      </c>
      <c r="B148">
        <v>0</v>
      </c>
      <c r="C148">
        <v>97</v>
      </c>
      <c r="D148">
        <v>173.5</v>
      </c>
      <c r="E148">
        <v>65.400000000000006</v>
      </c>
      <c r="F148">
        <v>53</v>
      </c>
      <c r="G148">
        <v>2290</v>
      </c>
      <c r="H148">
        <v>108</v>
      </c>
      <c r="I148">
        <v>3.62</v>
      </c>
      <c r="J148">
        <v>2.64</v>
      </c>
      <c r="K148">
        <v>9</v>
      </c>
      <c r="L148">
        <v>82</v>
      </c>
      <c r="M148">
        <v>4800</v>
      </c>
      <c r="N148">
        <v>28</v>
      </c>
      <c r="O148">
        <v>32</v>
      </c>
      <c r="P148">
        <v>7463</v>
      </c>
      <c r="Q148" t="s">
        <v>0</v>
      </c>
      <c r="R148" t="s">
        <v>1</v>
      </c>
      <c r="S148" t="s">
        <v>5</v>
      </c>
      <c r="T148" t="s">
        <v>6</v>
      </c>
      <c r="U148" t="s">
        <v>4</v>
      </c>
    </row>
    <row r="149" spans="1:21">
      <c r="A149">
        <v>148</v>
      </c>
      <c r="B149">
        <v>0</v>
      </c>
      <c r="C149">
        <v>97</v>
      </c>
      <c r="D149">
        <v>173.5</v>
      </c>
      <c r="E149">
        <v>65.400000000000006</v>
      </c>
      <c r="F149">
        <v>53</v>
      </c>
      <c r="G149">
        <v>2455</v>
      </c>
      <c r="H149">
        <v>108</v>
      </c>
      <c r="I149">
        <v>3.62</v>
      </c>
      <c r="J149">
        <v>2.64</v>
      </c>
      <c r="K149">
        <v>9</v>
      </c>
      <c r="L149">
        <v>94</v>
      </c>
      <c r="M149">
        <v>5200</v>
      </c>
      <c r="N149">
        <v>25</v>
      </c>
      <c r="O149">
        <v>31</v>
      </c>
      <c r="P149">
        <v>10198</v>
      </c>
      <c r="Q149" t="s">
        <v>0</v>
      </c>
      <c r="R149" t="s">
        <v>1</v>
      </c>
      <c r="S149" t="s">
        <v>5</v>
      </c>
      <c r="T149" t="s">
        <v>6</v>
      </c>
      <c r="U149" t="s">
        <v>4</v>
      </c>
    </row>
    <row r="150" spans="1:21">
      <c r="A150">
        <v>149</v>
      </c>
      <c r="B150">
        <v>0</v>
      </c>
      <c r="C150">
        <v>96.9</v>
      </c>
      <c r="D150">
        <v>173.6</v>
      </c>
      <c r="E150">
        <v>65.400000000000006</v>
      </c>
      <c r="F150">
        <v>54.9</v>
      </c>
      <c r="G150">
        <v>2420</v>
      </c>
      <c r="H150">
        <v>108</v>
      </c>
      <c r="I150">
        <v>3.62</v>
      </c>
      <c r="J150">
        <v>2.64</v>
      </c>
      <c r="K150">
        <v>9</v>
      </c>
      <c r="L150">
        <v>82</v>
      </c>
      <c r="M150">
        <v>4800</v>
      </c>
      <c r="N150">
        <v>23</v>
      </c>
      <c r="O150">
        <v>29</v>
      </c>
      <c r="P150">
        <v>8013</v>
      </c>
      <c r="Q150" t="s">
        <v>0</v>
      </c>
      <c r="R150" t="s">
        <v>1</v>
      </c>
      <c r="S150" t="s">
        <v>5</v>
      </c>
      <c r="T150" t="s">
        <v>7</v>
      </c>
      <c r="U150" t="s">
        <v>4</v>
      </c>
    </row>
    <row r="151" spans="1:21">
      <c r="A151">
        <v>150</v>
      </c>
      <c r="B151">
        <v>0</v>
      </c>
      <c r="C151">
        <v>96.9</v>
      </c>
      <c r="D151">
        <v>173.6</v>
      </c>
      <c r="E151">
        <v>65.400000000000006</v>
      </c>
      <c r="F151">
        <v>54.9</v>
      </c>
      <c r="G151">
        <v>2650</v>
      </c>
      <c r="H151">
        <v>108</v>
      </c>
      <c r="I151">
        <v>3.62</v>
      </c>
      <c r="J151">
        <v>2.64</v>
      </c>
      <c r="K151">
        <v>7.7</v>
      </c>
      <c r="L151">
        <v>111</v>
      </c>
      <c r="M151">
        <v>4800</v>
      </c>
      <c r="N151">
        <v>23</v>
      </c>
      <c r="O151">
        <v>23</v>
      </c>
      <c r="P151">
        <v>11694</v>
      </c>
      <c r="Q151" t="s">
        <v>0</v>
      </c>
      <c r="R151" t="s">
        <v>8</v>
      </c>
      <c r="S151" t="s">
        <v>5</v>
      </c>
      <c r="T151" t="s">
        <v>7</v>
      </c>
      <c r="U151" t="s">
        <v>4</v>
      </c>
    </row>
    <row r="152" spans="1:21">
      <c r="A152">
        <v>151</v>
      </c>
      <c r="B152">
        <v>1</v>
      </c>
      <c r="C152">
        <v>95.7</v>
      </c>
      <c r="D152">
        <v>158.69999999999999</v>
      </c>
      <c r="E152">
        <v>63.6</v>
      </c>
      <c r="F152">
        <v>54.5</v>
      </c>
      <c r="G152">
        <v>1985</v>
      </c>
      <c r="H152">
        <v>92</v>
      </c>
      <c r="I152">
        <v>3.05</v>
      </c>
      <c r="J152">
        <v>3.03</v>
      </c>
      <c r="K152">
        <v>9</v>
      </c>
      <c r="L152">
        <v>62</v>
      </c>
      <c r="M152">
        <v>4800</v>
      </c>
      <c r="N152">
        <v>35</v>
      </c>
      <c r="O152">
        <v>39</v>
      </c>
      <c r="P152">
        <v>5348</v>
      </c>
      <c r="Q152" t="s">
        <v>0</v>
      </c>
      <c r="R152" t="s">
        <v>1</v>
      </c>
      <c r="S152" t="s">
        <v>2</v>
      </c>
      <c r="T152" t="s">
        <v>6</v>
      </c>
      <c r="U152" t="s">
        <v>4</v>
      </c>
    </row>
    <row r="153" spans="1:21">
      <c r="A153">
        <v>152</v>
      </c>
      <c r="B153">
        <v>1</v>
      </c>
      <c r="C153">
        <v>95.7</v>
      </c>
      <c r="D153">
        <v>158.69999999999999</v>
      </c>
      <c r="E153">
        <v>63.6</v>
      </c>
      <c r="F153">
        <v>54.5</v>
      </c>
      <c r="G153">
        <v>2040</v>
      </c>
      <c r="H153">
        <v>92</v>
      </c>
      <c r="I153">
        <v>3.05</v>
      </c>
      <c r="J153">
        <v>3.03</v>
      </c>
      <c r="K153">
        <v>9</v>
      </c>
      <c r="L153">
        <v>62</v>
      </c>
      <c r="M153">
        <v>4800</v>
      </c>
      <c r="N153">
        <v>31</v>
      </c>
      <c r="O153">
        <v>38</v>
      </c>
      <c r="P153">
        <v>6338</v>
      </c>
      <c r="Q153" t="s">
        <v>0</v>
      </c>
      <c r="R153" t="s">
        <v>1</v>
      </c>
      <c r="S153" t="s">
        <v>2</v>
      </c>
      <c r="T153" t="s">
        <v>6</v>
      </c>
      <c r="U153" t="s">
        <v>4</v>
      </c>
    </row>
    <row r="154" spans="1:21">
      <c r="A154">
        <v>153</v>
      </c>
      <c r="B154">
        <v>1</v>
      </c>
      <c r="C154">
        <v>95.7</v>
      </c>
      <c r="D154">
        <v>158.69999999999999</v>
      </c>
      <c r="E154">
        <v>63.6</v>
      </c>
      <c r="F154">
        <v>54.5</v>
      </c>
      <c r="G154">
        <v>2015</v>
      </c>
      <c r="H154">
        <v>92</v>
      </c>
      <c r="I154">
        <v>3.05</v>
      </c>
      <c r="J154">
        <v>3.03</v>
      </c>
      <c r="K154">
        <v>9</v>
      </c>
      <c r="L154">
        <v>62</v>
      </c>
      <c r="M154">
        <v>4800</v>
      </c>
      <c r="N154">
        <v>31</v>
      </c>
      <c r="O154">
        <v>38</v>
      </c>
      <c r="P154">
        <v>6488</v>
      </c>
      <c r="Q154" t="s">
        <v>0</v>
      </c>
      <c r="R154" t="s">
        <v>1</v>
      </c>
      <c r="S154" t="s">
        <v>5</v>
      </c>
      <c r="T154" t="s">
        <v>6</v>
      </c>
      <c r="U154" t="s">
        <v>4</v>
      </c>
    </row>
    <row r="155" spans="1:21">
      <c r="A155">
        <v>154</v>
      </c>
      <c r="B155">
        <v>0</v>
      </c>
      <c r="C155">
        <v>95.7</v>
      </c>
      <c r="D155">
        <v>169.7</v>
      </c>
      <c r="E155">
        <v>63.6</v>
      </c>
      <c r="F155">
        <v>59.1</v>
      </c>
      <c r="G155">
        <v>2280</v>
      </c>
      <c r="H155">
        <v>92</v>
      </c>
      <c r="I155">
        <v>3.05</v>
      </c>
      <c r="J155">
        <v>3.03</v>
      </c>
      <c r="K155">
        <v>9</v>
      </c>
      <c r="L155">
        <v>62</v>
      </c>
      <c r="M155">
        <v>4800</v>
      </c>
      <c r="N155">
        <v>31</v>
      </c>
      <c r="O155">
        <v>37</v>
      </c>
      <c r="P155">
        <v>6918</v>
      </c>
      <c r="Q155" t="s">
        <v>0</v>
      </c>
      <c r="R155" t="s">
        <v>1</v>
      </c>
      <c r="S155" t="s">
        <v>5</v>
      </c>
      <c r="T155" t="s">
        <v>6</v>
      </c>
      <c r="U155" t="s">
        <v>4</v>
      </c>
    </row>
    <row r="156" spans="1:21">
      <c r="A156">
        <v>155</v>
      </c>
      <c r="B156">
        <v>0</v>
      </c>
      <c r="C156">
        <v>95.7</v>
      </c>
      <c r="D156">
        <v>169.7</v>
      </c>
      <c r="E156">
        <v>63.6</v>
      </c>
      <c r="F156">
        <v>59.1</v>
      </c>
      <c r="G156">
        <v>2290</v>
      </c>
      <c r="H156">
        <v>92</v>
      </c>
      <c r="I156">
        <v>3.05</v>
      </c>
      <c r="J156">
        <v>3.03</v>
      </c>
      <c r="K156">
        <v>9</v>
      </c>
      <c r="L156">
        <v>62</v>
      </c>
      <c r="M156">
        <v>4800</v>
      </c>
      <c r="N156">
        <v>27</v>
      </c>
      <c r="O156">
        <v>32</v>
      </c>
      <c r="P156">
        <v>7898</v>
      </c>
      <c r="Q156" t="s">
        <v>0</v>
      </c>
      <c r="R156" t="s">
        <v>1</v>
      </c>
      <c r="S156" t="s">
        <v>5</v>
      </c>
      <c r="T156" t="s">
        <v>7</v>
      </c>
      <c r="U156" t="s">
        <v>4</v>
      </c>
    </row>
    <row r="157" spans="1:21">
      <c r="A157">
        <v>156</v>
      </c>
      <c r="B157">
        <v>0</v>
      </c>
      <c r="C157">
        <v>95.7</v>
      </c>
      <c r="D157">
        <v>169.7</v>
      </c>
      <c r="E157">
        <v>63.6</v>
      </c>
      <c r="F157">
        <v>59.1</v>
      </c>
      <c r="G157">
        <v>3110</v>
      </c>
      <c r="H157">
        <v>92</v>
      </c>
      <c r="I157">
        <v>3.05</v>
      </c>
      <c r="J157">
        <v>3.03</v>
      </c>
      <c r="K157">
        <v>9</v>
      </c>
      <c r="L157">
        <v>62</v>
      </c>
      <c r="M157">
        <v>4800</v>
      </c>
      <c r="N157">
        <v>27</v>
      </c>
      <c r="O157">
        <v>32</v>
      </c>
      <c r="P157">
        <v>8778</v>
      </c>
      <c r="Q157" t="s">
        <v>0</v>
      </c>
      <c r="R157" t="s">
        <v>1</v>
      </c>
      <c r="S157" t="s">
        <v>5</v>
      </c>
      <c r="T157" t="s">
        <v>7</v>
      </c>
      <c r="U157" t="s">
        <v>4</v>
      </c>
    </row>
    <row r="158" spans="1:21">
      <c r="A158">
        <v>157</v>
      </c>
      <c r="B158">
        <v>0</v>
      </c>
      <c r="C158">
        <v>95.7</v>
      </c>
      <c r="D158">
        <v>166.3</v>
      </c>
      <c r="E158">
        <v>64.400000000000006</v>
      </c>
      <c r="F158">
        <v>53</v>
      </c>
      <c r="G158">
        <v>2081</v>
      </c>
      <c r="H158">
        <v>98</v>
      </c>
      <c r="I158">
        <v>3.19</v>
      </c>
      <c r="J158">
        <v>3.03</v>
      </c>
      <c r="K158">
        <v>9</v>
      </c>
      <c r="L158">
        <v>70</v>
      </c>
      <c r="M158">
        <v>4800</v>
      </c>
      <c r="N158">
        <v>30</v>
      </c>
      <c r="O158">
        <v>37</v>
      </c>
      <c r="P158">
        <v>6938</v>
      </c>
      <c r="Q158" t="s">
        <v>0</v>
      </c>
      <c r="R158" t="s">
        <v>1</v>
      </c>
      <c r="S158" t="s">
        <v>5</v>
      </c>
      <c r="T158" t="s">
        <v>6</v>
      </c>
      <c r="U158" t="s">
        <v>4</v>
      </c>
    </row>
    <row r="159" spans="1:21">
      <c r="A159">
        <v>158</v>
      </c>
      <c r="B159">
        <v>0</v>
      </c>
      <c r="C159">
        <v>95.7</v>
      </c>
      <c r="D159">
        <v>166.3</v>
      </c>
      <c r="E159">
        <v>64.400000000000006</v>
      </c>
      <c r="F159">
        <v>52.8</v>
      </c>
      <c r="G159">
        <v>2109</v>
      </c>
      <c r="H159">
        <v>98</v>
      </c>
      <c r="I159">
        <v>3.19</v>
      </c>
      <c r="J159">
        <v>3.03</v>
      </c>
      <c r="K159">
        <v>9</v>
      </c>
      <c r="L159">
        <v>70</v>
      </c>
      <c r="M159">
        <v>4800</v>
      </c>
      <c r="N159">
        <v>30</v>
      </c>
      <c r="O159">
        <v>37</v>
      </c>
      <c r="P159">
        <v>7198</v>
      </c>
      <c r="Q159" t="s">
        <v>0</v>
      </c>
      <c r="R159" t="s">
        <v>1</v>
      </c>
      <c r="S159" t="s">
        <v>5</v>
      </c>
      <c r="T159" t="s">
        <v>6</v>
      </c>
      <c r="U159" t="s">
        <v>4</v>
      </c>
    </row>
    <row r="160" spans="1:21">
      <c r="A160">
        <v>159</v>
      </c>
      <c r="B160">
        <v>0</v>
      </c>
      <c r="C160">
        <v>95.7</v>
      </c>
      <c r="D160">
        <v>166.3</v>
      </c>
      <c r="E160">
        <v>64.400000000000006</v>
      </c>
      <c r="F160">
        <v>53</v>
      </c>
      <c r="G160">
        <v>2275</v>
      </c>
      <c r="H160">
        <v>110</v>
      </c>
      <c r="I160">
        <v>3.27</v>
      </c>
      <c r="J160">
        <v>3.35</v>
      </c>
      <c r="K160">
        <v>22.5</v>
      </c>
      <c r="L160">
        <v>56</v>
      </c>
      <c r="M160">
        <v>4500</v>
      </c>
      <c r="N160">
        <v>34</v>
      </c>
      <c r="O160">
        <v>36</v>
      </c>
      <c r="P160">
        <v>7898</v>
      </c>
      <c r="Q160" t="s">
        <v>9</v>
      </c>
      <c r="R160" t="s">
        <v>1</v>
      </c>
      <c r="S160" t="s">
        <v>5</v>
      </c>
      <c r="T160" t="s">
        <v>6</v>
      </c>
      <c r="U160" t="s">
        <v>4</v>
      </c>
    </row>
    <row r="161" spans="1:21">
      <c r="A161">
        <v>160</v>
      </c>
      <c r="B161">
        <v>0</v>
      </c>
      <c r="C161">
        <v>95.7</v>
      </c>
      <c r="D161">
        <v>166.3</v>
      </c>
      <c r="E161">
        <v>64.400000000000006</v>
      </c>
      <c r="F161">
        <v>52.8</v>
      </c>
      <c r="G161">
        <v>2275</v>
      </c>
      <c r="H161">
        <v>110</v>
      </c>
      <c r="I161">
        <v>3.27</v>
      </c>
      <c r="J161">
        <v>3.35</v>
      </c>
      <c r="K161">
        <v>22.5</v>
      </c>
      <c r="L161">
        <v>56</v>
      </c>
      <c r="M161">
        <v>4500</v>
      </c>
      <c r="N161">
        <v>38</v>
      </c>
      <c r="O161">
        <v>47</v>
      </c>
      <c r="P161">
        <v>7788</v>
      </c>
      <c r="Q161" t="s">
        <v>9</v>
      </c>
      <c r="R161" t="s">
        <v>1</v>
      </c>
      <c r="S161" t="s">
        <v>5</v>
      </c>
      <c r="T161" t="s">
        <v>6</v>
      </c>
      <c r="U161" t="s">
        <v>4</v>
      </c>
    </row>
    <row r="162" spans="1:21">
      <c r="A162">
        <v>161</v>
      </c>
      <c r="B162">
        <v>0</v>
      </c>
      <c r="C162">
        <v>95.7</v>
      </c>
      <c r="D162">
        <v>166.3</v>
      </c>
      <c r="E162">
        <v>64.400000000000006</v>
      </c>
      <c r="F162">
        <v>53</v>
      </c>
      <c r="G162">
        <v>2094</v>
      </c>
      <c r="H162">
        <v>98</v>
      </c>
      <c r="I162">
        <v>3.19</v>
      </c>
      <c r="J162">
        <v>3.03</v>
      </c>
      <c r="K162">
        <v>9</v>
      </c>
      <c r="L162">
        <v>70</v>
      </c>
      <c r="M162">
        <v>4800</v>
      </c>
      <c r="N162">
        <v>38</v>
      </c>
      <c r="O162">
        <v>47</v>
      </c>
      <c r="P162">
        <v>7738</v>
      </c>
      <c r="Q162" t="s">
        <v>0</v>
      </c>
      <c r="R162" t="s">
        <v>1</v>
      </c>
      <c r="S162" t="s">
        <v>5</v>
      </c>
      <c r="T162" t="s">
        <v>6</v>
      </c>
      <c r="U162" t="s">
        <v>4</v>
      </c>
    </row>
    <row r="163" spans="1:21">
      <c r="A163">
        <v>162</v>
      </c>
      <c r="B163">
        <v>0</v>
      </c>
      <c r="C163">
        <v>95.7</v>
      </c>
      <c r="D163">
        <v>166.3</v>
      </c>
      <c r="E163">
        <v>64.400000000000006</v>
      </c>
      <c r="F163">
        <v>52.8</v>
      </c>
      <c r="G163">
        <v>2122</v>
      </c>
      <c r="H163">
        <v>98</v>
      </c>
      <c r="I163">
        <v>3.19</v>
      </c>
      <c r="J163">
        <v>3.03</v>
      </c>
      <c r="K163">
        <v>9</v>
      </c>
      <c r="L163">
        <v>70</v>
      </c>
      <c r="M163">
        <v>4800</v>
      </c>
      <c r="N163">
        <v>28</v>
      </c>
      <c r="O163">
        <v>34</v>
      </c>
      <c r="P163">
        <v>8358</v>
      </c>
      <c r="Q163" t="s">
        <v>0</v>
      </c>
      <c r="R163" t="s">
        <v>1</v>
      </c>
      <c r="S163" t="s">
        <v>5</v>
      </c>
      <c r="T163" t="s">
        <v>6</v>
      </c>
      <c r="U163" t="s">
        <v>4</v>
      </c>
    </row>
    <row r="164" spans="1:21">
      <c r="A164">
        <v>163</v>
      </c>
      <c r="B164">
        <v>0</v>
      </c>
      <c r="C164">
        <v>95.7</v>
      </c>
      <c r="D164">
        <v>166.3</v>
      </c>
      <c r="E164">
        <v>64.400000000000006</v>
      </c>
      <c r="F164">
        <v>52.8</v>
      </c>
      <c r="G164">
        <v>2140</v>
      </c>
      <c r="H164">
        <v>98</v>
      </c>
      <c r="I164">
        <v>3.19</v>
      </c>
      <c r="J164">
        <v>3.03</v>
      </c>
      <c r="K164">
        <v>9</v>
      </c>
      <c r="L164">
        <v>70</v>
      </c>
      <c r="M164">
        <v>4800</v>
      </c>
      <c r="N164">
        <v>28</v>
      </c>
      <c r="O164">
        <v>34</v>
      </c>
      <c r="P164">
        <v>9258</v>
      </c>
      <c r="Q164" t="s">
        <v>0</v>
      </c>
      <c r="R164" t="s">
        <v>1</v>
      </c>
      <c r="S164" t="s">
        <v>5</v>
      </c>
      <c r="T164" t="s">
        <v>6</v>
      </c>
      <c r="U164" t="s">
        <v>4</v>
      </c>
    </row>
    <row r="165" spans="1:21">
      <c r="A165">
        <v>164</v>
      </c>
      <c r="B165">
        <v>1</v>
      </c>
      <c r="C165">
        <v>94.5</v>
      </c>
      <c r="D165">
        <v>168.7</v>
      </c>
      <c r="E165">
        <v>64</v>
      </c>
      <c r="F165">
        <v>52.6</v>
      </c>
      <c r="G165">
        <v>2169</v>
      </c>
      <c r="H165">
        <v>98</v>
      </c>
      <c r="I165">
        <v>3.19</v>
      </c>
      <c r="J165">
        <v>3.03</v>
      </c>
      <c r="K165">
        <v>9</v>
      </c>
      <c r="L165">
        <v>70</v>
      </c>
      <c r="M165">
        <v>4800</v>
      </c>
      <c r="N165">
        <v>29</v>
      </c>
      <c r="O165">
        <v>34</v>
      </c>
      <c r="P165">
        <v>8058</v>
      </c>
      <c r="Q165" t="s">
        <v>0</v>
      </c>
      <c r="R165" t="s">
        <v>1</v>
      </c>
      <c r="S165" t="s">
        <v>2</v>
      </c>
      <c r="T165" t="s">
        <v>3</v>
      </c>
      <c r="U165" t="s">
        <v>4</v>
      </c>
    </row>
    <row r="166" spans="1:21">
      <c r="A166">
        <v>165</v>
      </c>
      <c r="B166">
        <v>1</v>
      </c>
      <c r="C166">
        <v>94.5</v>
      </c>
      <c r="D166">
        <v>168.7</v>
      </c>
      <c r="E166">
        <v>64</v>
      </c>
      <c r="F166">
        <v>52.6</v>
      </c>
      <c r="G166">
        <v>2204</v>
      </c>
      <c r="H166">
        <v>98</v>
      </c>
      <c r="I166">
        <v>3.19</v>
      </c>
      <c r="J166">
        <v>3.03</v>
      </c>
      <c r="K166">
        <v>9</v>
      </c>
      <c r="L166">
        <v>70</v>
      </c>
      <c r="M166">
        <v>4800</v>
      </c>
      <c r="N166">
        <v>29</v>
      </c>
      <c r="O166">
        <v>34</v>
      </c>
      <c r="P166">
        <v>8238</v>
      </c>
      <c r="Q166" t="s">
        <v>0</v>
      </c>
      <c r="R166" t="s">
        <v>1</v>
      </c>
      <c r="S166" t="s">
        <v>2</v>
      </c>
      <c r="T166" t="s">
        <v>3</v>
      </c>
      <c r="U166" t="s">
        <v>4</v>
      </c>
    </row>
    <row r="167" spans="1:21">
      <c r="A167">
        <v>166</v>
      </c>
      <c r="B167">
        <v>1</v>
      </c>
      <c r="C167">
        <v>94.5</v>
      </c>
      <c r="D167">
        <v>168.7</v>
      </c>
      <c r="E167">
        <v>64</v>
      </c>
      <c r="F167">
        <v>52.6</v>
      </c>
      <c r="G167">
        <v>2265</v>
      </c>
      <c r="H167">
        <v>98</v>
      </c>
      <c r="I167">
        <v>3.24</v>
      </c>
      <c r="J167">
        <v>3.08</v>
      </c>
      <c r="K167">
        <v>9.4</v>
      </c>
      <c r="L167">
        <v>112</v>
      </c>
      <c r="M167">
        <v>6600</v>
      </c>
      <c r="N167">
        <v>26</v>
      </c>
      <c r="O167">
        <v>29</v>
      </c>
      <c r="P167">
        <v>9298</v>
      </c>
      <c r="Q167" t="s">
        <v>0</v>
      </c>
      <c r="R167" t="s">
        <v>1</v>
      </c>
      <c r="S167" t="s">
        <v>2</v>
      </c>
      <c r="T167" t="s">
        <v>3</v>
      </c>
      <c r="U167" t="s">
        <v>4</v>
      </c>
    </row>
    <row r="168" spans="1:21">
      <c r="A168">
        <v>167</v>
      </c>
      <c r="B168">
        <v>1</v>
      </c>
      <c r="C168">
        <v>94.5</v>
      </c>
      <c r="D168">
        <v>168.7</v>
      </c>
      <c r="E168">
        <v>64</v>
      </c>
      <c r="F168">
        <v>52.6</v>
      </c>
      <c r="G168">
        <v>2300</v>
      </c>
      <c r="H168">
        <v>98</v>
      </c>
      <c r="I168">
        <v>3.24</v>
      </c>
      <c r="J168">
        <v>3.08</v>
      </c>
      <c r="K168">
        <v>9.4</v>
      </c>
      <c r="L168">
        <v>112</v>
      </c>
      <c r="M168">
        <v>6600</v>
      </c>
      <c r="N168">
        <v>26</v>
      </c>
      <c r="O168">
        <v>29</v>
      </c>
      <c r="P168">
        <v>9538</v>
      </c>
      <c r="Q168" t="s">
        <v>0</v>
      </c>
      <c r="R168" t="s">
        <v>1</v>
      </c>
      <c r="S168" t="s">
        <v>2</v>
      </c>
      <c r="T168" t="s">
        <v>3</v>
      </c>
      <c r="U168" t="s">
        <v>4</v>
      </c>
    </row>
    <row r="169" spans="1:21">
      <c r="A169">
        <v>168</v>
      </c>
      <c r="B169">
        <v>2</v>
      </c>
      <c r="C169">
        <v>98.4</v>
      </c>
      <c r="D169">
        <v>176.2</v>
      </c>
      <c r="E169">
        <v>65.599999999999994</v>
      </c>
      <c r="F169">
        <v>52</v>
      </c>
      <c r="G169">
        <v>2540</v>
      </c>
      <c r="H169">
        <v>146</v>
      </c>
      <c r="I169">
        <v>3.62</v>
      </c>
      <c r="J169">
        <v>3.5</v>
      </c>
      <c r="K169">
        <v>9.3000000000000007</v>
      </c>
      <c r="L169">
        <v>116</v>
      </c>
      <c r="M169">
        <v>4800</v>
      </c>
      <c r="N169">
        <v>24</v>
      </c>
      <c r="O169">
        <v>30</v>
      </c>
      <c r="P169">
        <v>8449</v>
      </c>
      <c r="Q169" t="s">
        <v>0</v>
      </c>
      <c r="R169" t="s">
        <v>1</v>
      </c>
      <c r="S169" t="s">
        <v>2</v>
      </c>
      <c r="T169" t="s">
        <v>3</v>
      </c>
      <c r="U169" t="s">
        <v>4</v>
      </c>
    </row>
    <row r="170" spans="1:21">
      <c r="A170">
        <v>169</v>
      </c>
      <c r="B170">
        <v>2</v>
      </c>
      <c r="C170">
        <v>98.4</v>
      </c>
      <c r="D170">
        <v>176.2</v>
      </c>
      <c r="E170">
        <v>65.599999999999994</v>
      </c>
      <c r="F170">
        <v>52</v>
      </c>
      <c r="G170">
        <v>2536</v>
      </c>
      <c r="H170">
        <v>146</v>
      </c>
      <c r="I170">
        <v>3.62</v>
      </c>
      <c r="J170">
        <v>3.5</v>
      </c>
      <c r="K170">
        <v>9.3000000000000007</v>
      </c>
      <c r="L170">
        <v>116</v>
      </c>
      <c r="M170">
        <v>4800</v>
      </c>
      <c r="N170">
        <v>24</v>
      </c>
      <c r="O170">
        <v>30</v>
      </c>
      <c r="P170">
        <v>9639</v>
      </c>
      <c r="Q170" t="s">
        <v>0</v>
      </c>
      <c r="R170" t="s">
        <v>1</v>
      </c>
      <c r="S170" t="s">
        <v>2</v>
      </c>
      <c r="T170" t="s">
        <v>3</v>
      </c>
      <c r="U170" t="s">
        <v>4</v>
      </c>
    </row>
    <row r="171" spans="1:21">
      <c r="A171">
        <v>170</v>
      </c>
      <c r="B171">
        <v>2</v>
      </c>
      <c r="C171">
        <v>98.4</v>
      </c>
      <c r="D171">
        <v>176.2</v>
      </c>
      <c r="E171">
        <v>65.599999999999994</v>
      </c>
      <c r="F171">
        <v>52</v>
      </c>
      <c r="G171">
        <v>2551</v>
      </c>
      <c r="H171">
        <v>146</v>
      </c>
      <c r="I171">
        <v>3.62</v>
      </c>
      <c r="J171">
        <v>3.5</v>
      </c>
      <c r="K171">
        <v>9.3000000000000007</v>
      </c>
      <c r="L171">
        <v>116</v>
      </c>
      <c r="M171">
        <v>4800</v>
      </c>
      <c r="N171">
        <v>24</v>
      </c>
      <c r="O171">
        <v>30</v>
      </c>
      <c r="P171">
        <v>9989</v>
      </c>
      <c r="Q171" t="s">
        <v>0</v>
      </c>
      <c r="R171" t="s">
        <v>1</v>
      </c>
      <c r="S171" t="s">
        <v>2</v>
      </c>
      <c r="T171" t="s">
        <v>3</v>
      </c>
      <c r="U171" t="s">
        <v>4</v>
      </c>
    </row>
    <row r="172" spans="1:21">
      <c r="A172">
        <v>171</v>
      </c>
      <c r="B172">
        <v>2</v>
      </c>
      <c r="C172">
        <v>98.4</v>
      </c>
      <c r="D172">
        <v>176.2</v>
      </c>
      <c r="E172">
        <v>65.599999999999994</v>
      </c>
      <c r="F172">
        <v>52</v>
      </c>
      <c r="G172">
        <v>2679</v>
      </c>
      <c r="H172">
        <v>146</v>
      </c>
      <c r="I172">
        <v>3.62</v>
      </c>
      <c r="J172">
        <v>3.5</v>
      </c>
      <c r="K172">
        <v>9.3000000000000007</v>
      </c>
      <c r="L172">
        <v>116</v>
      </c>
      <c r="M172">
        <v>4800</v>
      </c>
      <c r="N172">
        <v>24</v>
      </c>
      <c r="O172">
        <v>30</v>
      </c>
      <c r="P172">
        <v>11199</v>
      </c>
      <c r="Q172" t="s">
        <v>0</v>
      </c>
      <c r="R172" t="s">
        <v>1</v>
      </c>
      <c r="S172" t="s">
        <v>2</v>
      </c>
      <c r="T172" t="s">
        <v>3</v>
      </c>
      <c r="U172" t="s">
        <v>4</v>
      </c>
    </row>
    <row r="173" spans="1:21">
      <c r="A173">
        <v>172</v>
      </c>
      <c r="B173">
        <v>2</v>
      </c>
      <c r="C173">
        <v>98.4</v>
      </c>
      <c r="D173">
        <v>176.2</v>
      </c>
      <c r="E173">
        <v>65.599999999999994</v>
      </c>
      <c r="F173">
        <v>52</v>
      </c>
      <c r="G173">
        <v>2714</v>
      </c>
      <c r="H173">
        <v>146</v>
      </c>
      <c r="I173">
        <v>3.62</v>
      </c>
      <c r="J173">
        <v>3.5</v>
      </c>
      <c r="K173">
        <v>9.3000000000000007</v>
      </c>
      <c r="L173">
        <v>116</v>
      </c>
      <c r="M173">
        <v>4800</v>
      </c>
      <c r="N173">
        <v>24</v>
      </c>
      <c r="O173">
        <v>30</v>
      </c>
      <c r="P173">
        <v>11549</v>
      </c>
      <c r="Q173" t="s">
        <v>0</v>
      </c>
      <c r="R173" t="s">
        <v>1</v>
      </c>
      <c r="S173" t="s">
        <v>2</v>
      </c>
      <c r="T173" t="s">
        <v>3</v>
      </c>
      <c r="U173" t="s">
        <v>4</v>
      </c>
    </row>
    <row r="174" spans="1:21">
      <c r="A174">
        <v>173</v>
      </c>
      <c r="B174">
        <v>2</v>
      </c>
      <c r="C174">
        <v>98.4</v>
      </c>
      <c r="D174">
        <v>176.2</v>
      </c>
      <c r="E174">
        <v>65.599999999999994</v>
      </c>
      <c r="F174">
        <v>53</v>
      </c>
      <c r="G174">
        <v>2975</v>
      </c>
      <c r="H174">
        <v>146</v>
      </c>
      <c r="I174">
        <v>3.62</v>
      </c>
      <c r="J174">
        <v>3.5</v>
      </c>
      <c r="K174">
        <v>9.3000000000000007</v>
      </c>
      <c r="L174">
        <v>116</v>
      </c>
      <c r="M174">
        <v>4800</v>
      </c>
      <c r="N174">
        <v>24</v>
      </c>
      <c r="O174">
        <v>30</v>
      </c>
      <c r="P174">
        <v>17669</v>
      </c>
      <c r="Q174" t="s">
        <v>0</v>
      </c>
      <c r="R174" t="s">
        <v>1</v>
      </c>
      <c r="S174" t="s">
        <v>2</v>
      </c>
      <c r="T174" t="s">
        <v>3</v>
      </c>
      <c r="U174" t="s">
        <v>4</v>
      </c>
    </row>
    <row r="175" spans="1:21">
      <c r="A175">
        <v>174</v>
      </c>
      <c r="B175">
        <v>-1</v>
      </c>
      <c r="C175">
        <v>102.4</v>
      </c>
      <c r="D175">
        <v>175.6</v>
      </c>
      <c r="E175">
        <v>66.5</v>
      </c>
      <c r="F175">
        <v>54.9</v>
      </c>
      <c r="G175">
        <v>2326</v>
      </c>
      <c r="H175">
        <v>122</v>
      </c>
      <c r="I175">
        <v>3.31</v>
      </c>
      <c r="J175">
        <v>3.54</v>
      </c>
      <c r="K175">
        <v>8.6999999999999993</v>
      </c>
      <c r="L175">
        <v>92</v>
      </c>
      <c r="M175">
        <v>4200</v>
      </c>
      <c r="N175">
        <v>29</v>
      </c>
      <c r="O175">
        <v>34</v>
      </c>
      <c r="P175">
        <v>8948</v>
      </c>
      <c r="Q175" t="s">
        <v>0</v>
      </c>
      <c r="R175" t="s">
        <v>1</v>
      </c>
      <c r="S175" t="s">
        <v>5</v>
      </c>
      <c r="T175" t="s">
        <v>6</v>
      </c>
      <c r="U175" t="s">
        <v>4</v>
      </c>
    </row>
    <row r="176" spans="1:21">
      <c r="A176">
        <v>175</v>
      </c>
      <c r="B176">
        <v>-1</v>
      </c>
      <c r="C176">
        <v>102.4</v>
      </c>
      <c r="D176">
        <v>175.6</v>
      </c>
      <c r="E176">
        <v>66.5</v>
      </c>
      <c r="F176">
        <v>54.9</v>
      </c>
      <c r="G176">
        <v>2480</v>
      </c>
      <c r="H176">
        <v>110</v>
      </c>
      <c r="I176">
        <v>3.27</v>
      </c>
      <c r="J176">
        <v>3.35</v>
      </c>
      <c r="K176">
        <v>22.5</v>
      </c>
      <c r="L176">
        <v>73</v>
      </c>
      <c r="M176">
        <v>4500</v>
      </c>
      <c r="N176">
        <v>30</v>
      </c>
      <c r="O176">
        <v>33</v>
      </c>
      <c r="P176">
        <v>10698</v>
      </c>
      <c r="Q176" t="s">
        <v>9</v>
      </c>
      <c r="R176" t="s">
        <v>8</v>
      </c>
      <c r="S176" t="s">
        <v>5</v>
      </c>
      <c r="T176" t="s">
        <v>6</v>
      </c>
      <c r="U176" t="s">
        <v>4</v>
      </c>
    </row>
    <row r="177" spans="1:21">
      <c r="A177">
        <v>176</v>
      </c>
      <c r="B177">
        <v>-1</v>
      </c>
      <c r="C177">
        <v>102.4</v>
      </c>
      <c r="D177">
        <v>175.6</v>
      </c>
      <c r="E177">
        <v>66.5</v>
      </c>
      <c r="F177">
        <v>53.9</v>
      </c>
      <c r="G177">
        <v>2414</v>
      </c>
      <c r="H177">
        <v>122</v>
      </c>
      <c r="I177">
        <v>3.31</v>
      </c>
      <c r="J177">
        <v>3.54</v>
      </c>
      <c r="K177">
        <v>8.6999999999999993</v>
      </c>
      <c r="L177">
        <v>92</v>
      </c>
      <c r="M177">
        <v>4200</v>
      </c>
      <c r="N177">
        <v>27</v>
      </c>
      <c r="O177">
        <v>32</v>
      </c>
      <c r="P177">
        <v>9988</v>
      </c>
      <c r="Q177" t="s">
        <v>0</v>
      </c>
      <c r="R177" t="s">
        <v>1</v>
      </c>
      <c r="S177" t="s">
        <v>5</v>
      </c>
      <c r="T177" t="s">
        <v>6</v>
      </c>
      <c r="U177" t="s">
        <v>4</v>
      </c>
    </row>
    <row r="178" spans="1:21">
      <c r="A178">
        <v>177</v>
      </c>
      <c r="B178">
        <v>-1</v>
      </c>
      <c r="C178">
        <v>102.4</v>
      </c>
      <c r="D178">
        <v>175.6</v>
      </c>
      <c r="E178">
        <v>66.5</v>
      </c>
      <c r="F178">
        <v>54.9</v>
      </c>
      <c r="G178">
        <v>2414</v>
      </c>
      <c r="H178">
        <v>122</v>
      </c>
      <c r="I178">
        <v>3.31</v>
      </c>
      <c r="J178">
        <v>3.54</v>
      </c>
      <c r="K178">
        <v>8.6999999999999993</v>
      </c>
      <c r="L178">
        <v>92</v>
      </c>
      <c r="M178">
        <v>4200</v>
      </c>
      <c r="N178">
        <v>27</v>
      </c>
      <c r="O178">
        <v>32</v>
      </c>
      <c r="P178">
        <v>10898</v>
      </c>
      <c r="Q178" t="s">
        <v>0</v>
      </c>
      <c r="R178" t="s">
        <v>1</v>
      </c>
      <c r="S178" t="s">
        <v>5</v>
      </c>
      <c r="T178" t="s">
        <v>6</v>
      </c>
      <c r="U178" t="s">
        <v>4</v>
      </c>
    </row>
    <row r="179" spans="1:21">
      <c r="A179">
        <v>178</v>
      </c>
      <c r="B179">
        <v>-1</v>
      </c>
      <c r="C179">
        <v>102.4</v>
      </c>
      <c r="D179">
        <v>175.6</v>
      </c>
      <c r="E179">
        <v>66.5</v>
      </c>
      <c r="F179">
        <v>53.9</v>
      </c>
      <c r="G179">
        <v>2458</v>
      </c>
      <c r="H179">
        <v>122</v>
      </c>
      <c r="I179">
        <v>3.31</v>
      </c>
      <c r="J179">
        <v>3.54</v>
      </c>
      <c r="K179">
        <v>8.6999999999999993</v>
      </c>
      <c r="L179">
        <v>92</v>
      </c>
      <c r="M179">
        <v>4200</v>
      </c>
      <c r="N179">
        <v>27</v>
      </c>
      <c r="O179">
        <v>32</v>
      </c>
      <c r="P179">
        <v>11248</v>
      </c>
      <c r="Q179" t="s">
        <v>0</v>
      </c>
      <c r="R179" t="s">
        <v>1</v>
      </c>
      <c r="S179" t="s">
        <v>5</v>
      </c>
      <c r="T179" t="s">
        <v>6</v>
      </c>
      <c r="U179" t="s">
        <v>4</v>
      </c>
    </row>
    <row r="180" spans="1:21">
      <c r="A180">
        <v>179</v>
      </c>
      <c r="B180">
        <v>3</v>
      </c>
      <c r="C180">
        <v>102.9</v>
      </c>
      <c r="D180">
        <v>183.5</v>
      </c>
      <c r="E180">
        <v>67.7</v>
      </c>
      <c r="F180">
        <v>52</v>
      </c>
      <c r="G180">
        <v>2976</v>
      </c>
      <c r="H180">
        <v>171</v>
      </c>
      <c r="I180">
        <v>3.27</v>
      </c>
      <c r="J180">
        <v>3.35</v>
      </c>
      <c r="K180">
        <v>9.3000000000000007</v>
      </c>
      <c r="L180">
        <v>161</v>
      </c>
      <c r="M180">
        <v>5200</v>
      </c>
      <c r="N180">
        <v>20</v>
      </c>
      <c r="O180">
        <v>24</v>
      </c>
      <c r="P180">
        <v>16558</v>
      </c>
      <c r="Q180" t="s">
        <v>0</v>
      </c>
      <c r="R180" t="s">
        <v>1</v>
      </c>
      <c r="S180" t="s">
        <v>2</v>
      </c>
      <c r="T180" t="s">
        <v>3</v>
      </c>
      <c r="U180" t="s">
        <v>4</v>
      </c>
    </row>
    <row r="181" spans="1:21">
      <c r="A181">
        <v>180</v>
      </c>
      <c r="B181">
        <v>3</v>
      </c>
      <c r="C181">
        <v>102.9</v>
      </c>
      <c r="D181">
        <v>183.5</v>
      </c>
      <c r="E181">
        <v>67.7</v>
      </c>
      <c r="F181">
        <v>52</v>
      </c>
      <c r="G181">
        <v>3016</v>
      </c>
      <c r="H181">
        <v>171</v>
      </c>
      <c r="I181">
        <v>3.27</v>
      </c>
      <c r="J181">
        <v>3.35</v>
      </c>
      <c r="K181">
        <v>9.3000000000000007</v>
      </c>
      <c r="L181">
        <v>161</v>
      </c>
      <c r="M181">
        <v>5200</v>
      </c>
      <c r="N181">
        <v>19</v>
      </c>
      <c r="O181">
        <v>24</v>
      </c>
      <c r="P181">
        <v>15998</v>
      </c>
      <c r="Q181" t="s">
        <v>0</v>
      </c>
      <c r="R181" t="s">
        <v>1</v>
      </c>
      <c r="S181" t="s">
        <v>2</v>
      </c>
      <c r="T181" t="s">
        <v>3</v>
      </c>
      <c r="U181" t="s">
        <v>4</v>
      </c>
    </row>
    <row r="182" spans="1:21">
      <c r="A182">
        <v>181</v>
      </c>
      <c r="B182">
        <v>-1</v>
      </c>
      <c r="C182">
        <v>104.5</v>
      </c>
      <c r="D182">
        <v>187.8</v>
      </c>
      <c r="E182">
        <v>66.5</v>
      </c>
      <c r="F182">
        <v>54.1</v>
      </c>
      <c r="G182">
        <v>3131</v>
      </c>
      <c r="H182">
        <v>171</v>
      </c>
      <c r="I182">
        <v>3.27</v>
      </c>
      <c r="J182">
        <v>3.35</v>
      </c>
      <c r="K182">
        <v>9.1999999999999993</v>
      </c>
      <c r="L182">
        <v>156</v>
      </c>
      <c r="M182">
        <v>5200</v>
      </c>
      <c r="N182">
        <v>20</v>
      </c>
      <c r="O182">
        <v>24</v>
      </c>
      <c r="P182">
        <v>15690</v>
      </c>
      <c r="Q182" t="s">
        <v>0</v>
      </c>
      <c r="R182" t="s">
        <v>1</v>
      </c>
      <c r="S182" t="s">
        <v>5</v>
      </c>
      <c r="T182" t="s">
        <v>3</v>
      </c>
      <c r="U182" t="s">
        <v>4</v>
      </c>
    </row>
    <row r="183" spans="1:21">
      <c r="A183">
        <v>182</v>
      </c>
      <c r="B183">
        <v>-1</v>
      </c>
      <c r="C183">
        <v>104.5</v>
      </c>
      <c r="D183">
        <v>187.8</v>
      </c>
      <c r="E183">
        <v>66.5</v>
      </c>
      <c r="F183">
        <v>54.1</v>
      </c>
      <c r="G183">
        <v>3151</v>
      </c>
      <c r="H183">
        <v>161</v>
      </c>
      <c r="I183">
        <v>3.27</v>
      </c>
      <c r="J183">
        <v>3.35</v>
      </c>
      <c r="K183">
        <v>9.1999999999999993</v>
      </c>
      <c r="L183">
        <v>156</v>
      </c>
      <c r="M183">
        <v>5200</v>
      </c>
      <c r="N183">
        <v>19</v>
      </c>
      <c r="O183">
        <v>24</v>
      </c>
      <c r="P183">
        <v>15750</v>
      </c>
      <c r="Q183" t="s">
        <v>0</v>
      </c>
      <c r="R183" t="s">
        <v>1</v>
      </c>
      <c r="S183" t="s">
        <v>5</v>
      </c>
      <c r="T183" t="s">
        <v>3</v>
      </c>
      <c r="U183" t="s">
        <v>4</v>
      </c>
    </row>
    <row r="184" spans="1:21">
      <c r="A184">
        <v>183</v>
      </c>
      <c r="B184">
        <v>2</v>
      </c>
      <c r="C184">
        <v>97.3</v>
      </c>
      <c r="D184">
        <v>171.7</v>
      </c>
      <c r="E184">
        <v>65.5</v>
      </c>
      <c r="F184">
        <v>55.7</v>
      </c>
      <c r="G184">
        <v>2261</v>
      </c>
      <c r="H184">
        <v>97</v>
      </c>
      <c r="I184">
        <v>3.01</v>
      </c>
      <c r="J184">
        <v>3.4</v>
      </c>
      <c r="K184">
        <v>23</v>
      </c>
      <c r="L184">
        <v>52</v>
      </c>
      <c r="M184">
        <v>4800</v>
      </c>
      <c r="N184">
        <v>37</v>
      </c>
      <c r="O184">
        <v>46</v>
      </c>
      <c r="P184">
        <v>7775</v>
      </c>
      <c r="Q184" t="s">
        <v>9</v>
      </c>
      <c r="R184" t="s">
        <v>1</v>
      </c>
      <c r="S184" t="s">
        <v>2</v>
      </c>
      <c r="T184" t="s">
        <v>6</v>
      </c>
      <c r="U184" t="s">
        <v>4</v>
      </c>
    </row>
    <row r="185" spans="1:21">
      <c r="A185">
        <v>184</v>
      </c>
      <c r="B185">
        <v>2</v>
      </c>
      <c r="C185">
        <v>97.3</v>
      </c>
      <c r="D185">
        <v>171.7</v>
      </c>
      <c r="E185">
        <v>65.5</v>
      </c>
      <c r="F185">
        <v>55.7</v>
      </c>
      <c r="G185">
        <v>2209</v>
      </c>
      <c r="H185">
        <v>109</v>
      </c>
      <c r="I185">
        <v>3.19</v>
      </c>
      <c r="J185">
        <v>3.4</v>
      </c>
      <c r="K185">
        <v>9</v>
      </c>
      <c r="L185">
        <v>85</v>
      </c>
      <c r="M185">
        <v>5250</v>
      </c>
      <c r="N185">
        <v>27</v>
      </c>
      <c r="O185">
        <v>34</v>
      </c>
      <c r="P185">
        <v>7975</v>
      </c>
      <c r="Q185" t="s">
        <v>0</v>
      </c>
      <c r="R185" t="s">
        <v>1</v>
      </c>
      <c r="S185" t="s">
        <v>2</v>
      </c>
      <c r="T185" t="s">
        <v>6</v>
      </c>
      <c r="U185" t="s">
        <v>4</v>
      </c>
    </row>
    <row r="186" spans="1:21">
      <c r="A186">
        <v>185</v>
      </c>
      <c r="B186">
        <v>2</v>
      </c>
      <c r="C186">
        <v>97.3</v>
      </c>
      <c r="D186">
        <v>171.7</v>
      </c>
      <c r="E186">
        <v>65.5</v>
      </c>
      <c r="F186">
        <v>55.7</v>
      </c>
      <c r="G186">
        <v>2264</v>
      </c>
      <c r="H186">
        <v>97</v>
      </c>
      <c r="I186">
        <v>3.01</v>
      </c>
      <c r="J186">
        <v>3.4</v>
      </c>
      <c r="K186">
        <v>23</v>
      </c>
      <c r="L186">
        <v>52</v>
      </c>
      <c r="M186">
        <v>4800</v>
      </c>
      <c r="N186">
        <v>37</v>
      </c>
      <c r="O186">
        <v>46</v>
      </c>
      <c r="P186">
        <v>7995</v>
      </c>
      <c r="Q186" t="s">
        <v>9</v>
      </c>
      <c r="R186" t="s">
        <v>1</v>
      </c>
      <c r="S186" t="s">
        <v>5</v>
      </c>
      <c r="T186" t="s">
        <v>6</v>
      </c>
      <c r="U186" t="s">
        <v>4</v>
      </c>
    </row>
    <row r="187" spans="1:21">
      <c r="A187">
        <v>186</v>
      </c>
      <c r="B187">
        <v>2</v>
      </c>
      <c r="C187">
        <v>97.3</v>
      </c>
      <c r="D187">
        <v>171.7</v>
      </c>
      <c r="E187">
        <v>65.5</v>
      </c>
      <c r="F187">
        <v>55.7</v>
      </c>
      <c r="G187">
        <v>2212</v>
      </c>
      <c r="H187">
        <v>109</v>
      </c>
      <c r="I187">
        <v>3.19</v>
      </c>
      <c r="J187">
        <v>3.4</v>
      </c>
      <c r="K187">
        <v>9</v>
      </c>
      <c r="L187">
        <v>85</v>
      </c>
      <c r="M187">
        <v>5250</v>
      </c>
      <c r="N187">
        <v>27</v>
      </c>
      <c r="O187">
        <v>34</v>
      </c>
      <c r="P187">
        <v>8195</v>
      </c>
      <c r="Q187" t="s">
        <v>0</v>
      </c>
      <c r="R187" t="s">
        <v>1</v>
      </c>
      <c r="S187" t="s">
        <v>5</v>
      </c>
      <c r="T187" t="s">
        <v>6</v>
      </c>
      <c r="U187" t="s">
        <v>4</v>
      </c>
    </row>
    <row r="188" spans="1:21">
      <c r="A188">
        <v>187</v>
      </c>
      <c r="B188">
        <v>2</v>
      </c>
      <c r="C188">
        <v>97.3</v>
      </c>
      <c r="D188">
        <v>171.7</v>
      </c>
      <c r="E188">
        <v>65.5</v>
      </c>
      <c r="F188">
        <v>55.7</v>
      </c>
      <c r="G188">
        <v>2275</v>
      </c>
      <c r="H188">
        <v>109</v>
      </c>
      <c r="I188">
        <v>3.19</v>
      </c>
      <c r="J188">
        <v>3.4</v>
      </c>
      <c r="K188">
        <v>9</v>
      </c>
      <c r="L188">
        <v>85</v>
      </c>
      <c r="M188">
        <v>5250</v>
      </c>
      <c r="N188">
        <v>27</v>
      </c>
      <c r="O188">
        <v>34</v>
      </c>
      <c r="P188">
        <v>8495</v>
      </c>
      <c r="Q188" t="s">
        <v>0</v>
      </c>
      <c r="R188" t="s">
        <v>1</v>
      </c>
      <c r="S188" t="s">
        <v>5</v>
      </c>
      <c r="T188" t="s">
        <v>6</v>
      </c>
      <c r="U188" t="s">
        <v>4</v>
      </c>
    </row>
    <row r="189" spans="1:21">
      <c r="A189">
        <v>188</v>
      </c>
      <c r="B189">
        <v>2</v>
      </c>
      <c r="C189">
        <v>97.3</v>
      </c>
      <c r="D189">
        <v>171.7</v>
      </c>
      <c r="E189">
        <v>65.5</v>
      </c>
      <c r="F189">
        <v>55.7</v>
      </c>
      <c r="G189">
        <v>2319</v>
      </c>
      <c r="H189">
        <v>97</v>
      </c>
      <c r="I189">
        <v>3.01</v>
      </c>
      <c r="J189">
        <v>3.4</v>
      </c>
      <c r="K189">
        <v>23</v>
      </c>
      <c r="L189">
        <v>68</v>
      </c>
      <c r="M189">
        <v>4500</v>
      </c>
      <c r="N189">
        <v>37</v>
      </c>
      <c r="O189">
        <v>42</v>
      </c>
      <c r="P189">
        <v>9495</v>
      </c>
      <c r="Q189" t="s">
        <v>9</v>
      </c>
      <c r="R189" t="s">
        <v>8</v>
      </c>
      <c r="S189" t="s">
        <v>5</v>
      </c>
      <c r="T189" t="s">
        <v>6</v>
      </c>
      <c r="U189" t="s">
        <v>4</v>
      </c>
    </row>
    <row r="190" spans="1:21">
      <c r="A190">
        <v>189</v>
      </c>
      <c r="B190">
        <v>2</v>
      </c>
      <c r="C190">
        <v>97.3</v>
      </c>
      <c r="D190">
        <v>171.7</v>
      </c>
      <c r="E190">
        <v>65.5</v>
      </c>
      <c r="F190">
        <v>55.7</v>
      </c>
      <c r="G190">
        <v>2300</v>
      </c>
      <c r="H190">
        <v>109</v>
      </c>
      <c r="I190">
        <v>3.19</v>
      </c>
      <c r="J190">
        <v>3.4</v>
      </c>
      <c r="K190">
        <v>10</v>
      </c>
      <c r="L190">
        <v>100</v>
      </c>
      <c r="M190">
        <v>5500</v>
      </c>
      <c r="N190">
        <v>26</v>
      </c>
      <c r="O190">
        <v>32</v>
      </c>
      <c r="P190">
        <v>9995</v>
      </c>
      <c r="Q190" t="s">
        <v>0</v>
      </c>
      <c r="R190" t="s">
        <v>1</v>
      </c>
      <c r="S190" t="s">
        <v>5</v>
      </c>
      <c r="T190" t="s">
        <v>6</v>
      </c>
      <c r="U190" t="s">
        <v>4</v>
      </c>
    </row>
    <row r="191" spans="1:21">
      <c r="A191">
        <v>190</v>
      </c>
      <c r="B191">
        <v>3</v>
      </c>
      <c r="C191">
        <v>94.5</v>
      </c>
      <c r="D191">
        <v>159.30000000000001</v>
      </c>
      <c r="E191">
        <v>64.2</v>
      </c>
      <c r="F191">
        <v>55.6</v>
      </c>
      <c r="G191">
        <v>2254</v>
      </c>
      <c r="H191">
        <v>109</v>
      </c>
      <c r="I191">
        <v>3.19</v>
      </c>
      <c r="J191">
        <v>3.4</v>
      </c>
      <c r="K191">
        <v>8.5</v>
      </c>
      <c r="L191">
        <v>90</v>
      </c>
      <c r="M191">
        <v>5500</v>
      </c>
      <c r="N191">
        <v>24</v>
      </c>
      <c r="O191">
        <v>29</v>
      </c>
      <c r="P191">
        <v>11595</v>
      </c>
      <c r="Q191" t="s">
        <v>0</v>
      </c>
      <c r="R191" t="s">
        <v>1</v>
      </c>
      <c r="S191" t="s">
        <v>2</v>
      </c>
      <c r="T191" t="s">
        <v>6</v>
      </c>
      <c r="U191" t="s">
        <v>4</v>
      </c>
    </row>
    <row r="192" spans="1:21">
      <c r="A192">
        <v>191</v>
      </c>
      <c r="B192">
        <v>3</v>
      </c>
      <c r="C192">
        <v>94.5</v>
      </c>
      <c r="D192">
        <v>165.7</v>
      </c>
      <c r="E192">
        <v>64</v>
      </c>
      <c r="F192">
        <v>51.4</v>
      </c>
      <c r="G192">
        <v>2221</v>
      </c>
      <c r="H192">
        <v>109</v>
      </c>
      <c r="I192">
        <v>3.19</v>
      </c>
      <c r="J192">
        <v>3.4</v>
      </c>
      <c r="K192">
        <v>8.5</v>
      </c>
      <c r="L192">
        <v>90</v>
      </c>
      <c r="M192">
        <v>5500</v>
      </c>
      <c r="N192">
        <v>24</v>
      </c>
      <c r="O192">
        <v>29</v>
      </c>
      <c r="P192">
        <v>9980</v>
      </c>
      <c r="Q192" t="s">
        <v>0</v>
      </c>
      <c r="R192" t="s">
        <v>1</v>
      </c>
      <c r="S192" t="s">
        <v>2</v>
      </c>
      <c r="T192" t="s">
        <v>6</v>
      </c>
      <c r="U192" t="s">
        <v>4</v>
      </c>
    </row>
    <row r="193" spans="1:21">
      <c r="A193">
        <v>192</v>
      </c>
      <c r="B193">
        <v>0</v>
      </c>
      <c r="C193">
        <v>100.4</v>
      </c>
      <c r="D193">
        <v>180.2</v>
      </c>
      <c r="E193">
        <v>66.900000000000006</v>
      </c>
      <c r="F193">
        <v>55.1</v>
      </c>
      <c r="G193">
        <v>2661</v>
      </c>
      <c r="H193">
        <v>136</v>
      </c>
      <c r="I193">
        <v>3.19</v>
      </c>
      <c r="J193">
        <v>3.4</v>
      </c>
      <c r="K193">
        <v>8.5</v>
      </c>
      <c r="L193">
        <v>110</v>
      </c>
      <c r="M193">
        <v>5500</v>
      </c>
      <c r="N193">
        <v>19</v>
      </c>
      <c r="O193">
        <v>24</v>
      </c>
      <c r="P193">
        <v>13295</v>
      </c>
      <c r="Q193" t="s">
        <v>0</v>
      </c>
      <c r="R193" t="s">
        <v>1</v>
      </c>
      <c r="S193" t="s">
        <v>5</v>
      </c>
      <c r="T193" t="s">
        <v>6</v>
      </c>
      <c r="U193" t="s">
        <v>4</v>
      </c>
    </row>
    <row r="194" spans="1:21">
      <c r="A194">
        <v>193</v>
      </c>
      <c r="B194">
        <v>0</v>
      </c>
      <c r="C194">
        <v>100.4</v>
      </c>
      <c r="D194">
        <v>180.2</v>
      </c>
      <c r="E194">
        <v>66.900000000000006</v>
      </c>
      <c r="F194">
        <v>55.1</v>
      </c>
      <c r="G194">
        <v>2579</v>
      </c>
      <c r="H194">
        <v>97</v>
      </c>
      <c r="I194">
        <v>3.01</v>
      </c>
      <c r="J194">
        <v>3.4</v>
      </c>
      <c r="K194">
        <v>23</v>
      </c>
      <c r="L194">
        <v>68</v>
      </c>
      <c r="M194">
        <v>4500</v>
      </c>
      <c r="N194">
        <v>33</v>
      </c>
      <c r="O194">
        <v>38</v>
      </c>
      <c r="P194">
        <v>13845</v>
      </c>
      <c r="Q194" t="s">
        <v>9</v>
      </c>
      <c r="R194" t="s">
        <v>8</v>
      </c>
      <c r="S194" t="s">
        <v>5</v>
      </c>
      <c r="T194" t="s">
        <v>6</v>
      </c>
      <c r="U194" t="s">
        <v>4</v>
      </c>
    </row>
    <row r="195" spans="1:21">
      <c r="A195">
        <v>194</v>
      </c>
      <c r="B195">
        <v>0</v>
      </c>
      <c r="C195">
        <v>100.4</v>
      </c>
      <c r="D195">
        <v>183.1</v>
      </c>
      <c r="E195">
        <v>66.900000000000006</v>
      </c>
      <c r="F195">
        <v>55.1</v>
      </c>
      <c r="G195">
        <v>2563</v>
      </c>
      <c r="H195">
        <v>109</v>
      </c>
      <c r="I195">
        <v>3.19</v>
      </c>
      <c r="J195">
        <v>3.4</v>
      </c>
      <c r="K195">
        <v>9</v>
      </c>
      <c r="L195">
        <v>88</v>
      </c>
      <c r="M195">
        <v>5500</v>
      </c>
      <c r="N195">
        <v>25</v>
      </c>
      <c r="O195">
        <v>31</v>
      </c>
      <c r="P195">
        <v>12290</v>
      </c>
      <c r="Q195" t="s">
        <v>0</v>
      </c>
      <c r="R195" t="s">
        <v>1</v>
      </c>
      <c r="S195" t="s">
        <v>5</v>
      </c>
      <c r="T195" t="s">
        <v>6</v>
      </c>
      <c r="U195" t="s">
        <v>4</v>
      </c>
    </row>
    <row r="196" spans="1:21">
      <c r="A196">
        <v>195</v>
      </c>
      <c r="B196">
        <v>-2</v>
      </c>
      <c r="C196">
        <v>104.3</v>
      </c>
      <c r="D196">
        <v>188.8</v>
      </c>
      <c r="E196">
        <v>67.2</v>
      </c>
      <c r="F196">
        <v>56.2</v>
      </c>
      <c r="G196">
        <v>2912</v>
      </c>
      <c r="H196">
        <v>141</v>
      </c>
      <c r="I196">
        <v>3.78</v>
      </c>
      <c r="J196">
        <v>3.15</v>
      </c>
      <c r="K196">
        <v>9.5</v>
      </c>
      <c r="L196">
        <v>114</v>
      </c>
      <c r="M196">
        <v>5400</v>
      </c>
      <c r="N196">
        <v>23</v>
      </c>
      <c r="O196">
        <v>28</v>
      </c>
      <c r="P196">
        <v>12940</v>
      </c>
      <c r="Q196" t="s">
        <v>0</v>
      </c>
      <c r="R196" t="s">
        <v>1</v>
      </c>
      <c r="S196" t="s">
        <v>5</v>
      </c>
      <c r="T196" t="s">
        <v>3</v>
      </c>
      <c r="U196" t="s">
        <v>4</v>
      </c>
    </row>
    <row r="197" spans="1:21">
      <c r="A197">
        <v>196</v>
      </c>
      <c r="B197">
        <v>-1</v>
      </c>
      <c r="C197">
        <v>104.3</v>
      </c>
      <c r="D197">
        <v>188.8</v>
      </c>
      <c r="E197">
        <v>67.2</v>
      </c>
      <c r="F197">
        <v>57.5</v>
      </c>
      <c r="G197">
        <v>3034</v>
      </c>
      <c r="H197">
        <v>141</v>
      </c>
      <c r="I197">
        <v>3.78</v>
      </c>
      <c r="J197">
        <v>3.15</v>
      </c>
      <c r="K197">
        <v>9.5</v>
      </c>
      <c r="L197">
        <v>114</v>
      </c>
      <c r="M197">
        <v>5400</v>
      </c>
      <c r="N197">
        <v>23</v>
      </c>
      <c r="O197">
        <v>28</v>
      </c>
      <c r="P197">
        <v>13415</v>
      </c>
      <c r="Q197" t="s">
        <v>0</v>
      </c>
      <c r="R197" t="s">
        <v>1</v>
      </c>
      <c r="S197" t="s">
        <v>5</v>
      </c>
      <c r="T197" t="s">
        <v>3</v>
      </c>
      <c r="U197" t="s">
        <v>4</v>
      </c>
    </row>
    <row r="198" spans="1:21">
      <c r="A198">
        <v>197</v>
      </c>
      <c r="B198">
        <v>-2</v>
      </c>
      <c r="C198">
        <v>104.3</v>
      </c>
      <c r="D198">
        <v>188.8</v>
      </c>
      <c r="E198">
        <v>67.2</v>
      </c>
      <c r="F198">
        <v>56.2</v>
      </c>
      <c r="G198">
        <v>2935</v>
      </c>
      <c r="H198">
        <v>141</v>
      </c>
      <c r="I198">
        <v>3.78</v>
      </c>
      <c r="J198">
        <v>3.15</v>
      </c>
      <c r="K198">
        <v>9.5</v>
      </c>
      <c r="L198">
        <v>114</v>
      </c>
      <c r="M198">
        <v>5400</v>
      </c>
      <c r="N198">
        <v>24</v>
      </c>
      <c r="O198">
        <v>28</v>
      </c>
      <c r="P198">
        <v>15985</v>
      </c>
      <c r="Q198" t="s">
        <v>0</v>
      </c>
      <c r="R198" t="s">
        <v>1</v>
      </c>
      <c r="S198" t="s">
        <v>5</v>
      </c>
      <c r="T198" t="s">
        <v>3</v>
      </c>
      <c r="U198" t="s">
        <v>4</v>
      </c>
    </row>
    <row r="199" spans="1:21">
      <c r="A199">
        <v>198</v>
      </c>
      <c r="B199">
        <v>-1</v>
      </c>
      <c r="C199">
        <v>104.3</v>
      </c>
      <c r="D199">
        <v>188.8</v>
      </c>
      <c r="E199">
        <v>67.2</v>
      </c>
      <c r="F199">
        <v>57.5</v>
      </c>
      <c r="G199">
        <v>3042</v>
      </c>
      <c r="H199">
        <v>141</v>
      </c>
      <c r="I199">
        <v>3.78</v>
      </c>
      <c r="J199">
        <v>3.15</v>
      </c>
      <c r="K199">
        <v>9.5</v>
      </c>
      <c r="L199">
        <v>114</v>
      </c>
      <c r="M199">
        <v>5400</v>
      </c>
      <c r="N199">
        <v>24</v>
      </c>
      <c r="O199">
        <v>28</v>
      </c>
      <c r="P199">
        <v>16515</v>
      </c>
      <c r="Q199" t="s">
        <v>0</v>
      </c>
      <c r="R199" t="s">
        <v>1</v>
      </c>
      <c r="S199" t="s">
        <v>5</v>
      </c>
      <c r="T199" t="s">
        <v>3</v>
      </c>
      <c r="U199" t="s">
        <v>4</v>
      </c>
    </row>
    <row r="200" spans="1:21">
      <c r="A200">
        <v>199</v>
      </c>
      <c r="B200">
        <v>-2</v>
      </c>
      <c r="C200">
        <v>104.3</v>
      </c>
      <c r="D200">
        <v>188.8</v>
      </c>
      <c r="E200">
        <v>67.2</v>
      </c>
      <c r="F200">
        <v>56.2</v>
      </c>
      <c r="G200">
        <v>3045</v>
      </c>
      <c r="H200">
        <v>130</v>
      </c>
      <c r="I200">
        <v>3.62</v>
      </c>
      <c r="J200">
        <v>3.15</v>
      </c>
      <c r="K200">
        <v>7.5</v>
      </c>
      <c r="L200">
        <v>162</v>
      </c>
      <c r="M200">
        <v>5100</v>
      </c>
      <c r="N200">
        <v>17</v>
      </c>
      <c r="O200">
        <v>22</v>
      </c>
      <c r="P200">
        <v>18420</v>
      </c>
      <c r="Q200" t="s">
        <v>0</v>
      </c>
      <c r="R200" t="s">
        <v>8</v>
      </c>
      <c r="S200" t="s">
        <v>5</v>
      </c>
      <c r="T200" t="s">
        <v>3</v>
      </c>
      <c r="U200" t="s">
        <v>4</v>
      </c>
    </row>
    <row r="201" spans="1:21">
      <c r="A201">
        <v>200</v>
      </c>
      <c r="B201">
        <v>-1</v>
      </c>
      <c r="C201">
        <v>104.3</v>
      </c>
      <c r="D201">
        <v>188.8</v>
      </c>
      <c r="E201">
        <v>67.2</v>
      </c>
      <c r="F201">
        <v>57.5</v>
      </c>
      <c r="G201">
        <v>3157</v>
      </c>
      <c r="H201">
        <v>130</v>
      </c>
      <c r="I201">
        <v>3.62</v>
      </c>
      <c r="J201">
        <v>3.15</v>
      </c>
      <c r="K201">
        <v>7.5</v>
      </c>
      <c r="L201">
        <v>162</v>
      </c>
      <c r="M201">
        <v>5100</v>
      </c>
      <c r="N201">
        <v>17</v>
      </c>
      <c r="O201">
        <v>22</v>
      </c>
      <c r="P201">
        <v>18950</v>
      </c>
      <c r="Q201" t="s">
        <v>0</v>
      </c>
      <c r="R201" t="s">
        <v>8</v>
      </c>
      <c r="S201" t="s">
        <v>5</v>
      </c>
      <c r="T201" t="s">
        <v>3</v>
      </c>
      <c r="U201" t="s">
        <v>4</v>
      </c>
    </row>
    <row r="202" spans="1:21">
      <c r="A202">
        <v>201</v>
      </c>
      <c r="B202">
        <v>-1</v>
      </c>
      <c r="C202">
        <v>109.1</v>
      </c>
      <c r="D202">
        <v>188.8</v>
      </c>
      <c r="E202">
        <v>68.900000000000006</v>
      </c>
      <c r="F202">
        <v>55.5</v>
      </c>
      <c r="G202">
        <v>2952</v>
      </c>
      <c r="H202">
        <v>141</v>
      </c>
      <c r="I202">
        <v>3.78</v>
      </c>
      <c r="J202">
        <v>3.15</v>
      </c>
      <c r="K202">
        <v>9.5</v>
      </c>
      <c r="L202">
        <v>114</v>
      </c>
      <c r="M202">
        <v>5400</v>
      </c>
      <c r="N202">
        <v>23</v>
      </c>
      <c r="O202">
        <v>28</v>
      </c>
      <c r="P202">
        <v>16845</v>
      </c>
      <c r="Q202" t="s">
        <v>0</v>
      </c>
      <c r="R202" t="s">
        <v>1</v>
      </c>
      <c r="S202" t="s">
        <v>5</v>
      </c>
      <c r="T202" t="s">
        <v>3</v>
      </c>
      <c r="U202" t="s">
        <v>4</v>
      </c>
    </row>
    <row r="203" spans="1:21">
      <c r="A203">
        <v>202</v>
      </c>
      <c r="B203">
        <v>-1</v>
      </c>
      <c r="C203">
        <v>109.1</v>
      </c>
      <c r="D203">
        <v>188.8</v>
      </c>
      <c r="E203">
        <v>68.8</v>
      </c>
      <c r="F203">
        <v>55.5</v>
      </c>
      <c r="G203">
        <v>3049</v>
      </c>
      <c r="H203">
        <v>141</v>
      </c>
      <c r="I203">
        <v>3.78</v>
      </c>
      <c r="J203">
        <v>3.15</v>
      </c>
      <c r="K203">
        <v>8.6999999999999993</v>
      </c>
      <c r="L203">
        <v>160</v>
      </c>
      <c r="M203">
        <v>5300</v>
      </c>
      <c r="N203">
        <v>19</v>
      </c>
      <c r="O203">
        <v>25</v>
      </c>
      <c r="P203">
        <v>19045</v>
      </c>
      <c r="Q203" t="s">
        <v>0</v>
      </c>
      <c r="R203" t="s">
        <v>8</v>
      </c>
      <c r="S203" t="s">
        <v>5</v>
      </c>
      <c r="T203" t="s">
        <v>3</v>
      </c>
      <c r="U203" t="s">
        <v>4</v>
      </c>
    </row>
    <row r="204" spans="1:21">
      <c r="A204">
        <v>203</v>
      </c>
      <c r="B204">
        <v>-1</v>
      </c>
      <c r="C204">
        <v>109.1</v>
      </c>
      <c r="D204">
        <v>188.8</v>
      </c>
      <c r="E204">
        <v>68.900000000000006</v>
      </c>
      <c r="F204">
        <v>55.5</v>
      </c>
      <c r="G204">
        <v>3012</v>
      </c>
      <c r="H204">
        <v>173</v>
      </c>
      <c r="I204">
        <v>3.58</v>
      </c>
      <c r="J204">
        <v>2.87</v>
      </c>
      <c r="K204">
        <v>8.8000000000000007</v>
      </c>
      <c r="L204">
        <v>134</v>
      </c>
      <c r="M204">
        <v>5500</v>
      </c>
      <c r="N204">
        <v>18</v>
      </c>
      <c r="O204">
        <v>23</v>
      </c>
      <c r="P204">
        <v>21485</v>
      </c>
      <c r="Q204" t="s">
        <v>0</v>
      </c>
      <c r="R204" t="s">
        <v>1</v>
      </c>
      <c r="S204" t="s">
        <v>5</v>
      </c>
      <c r="T204" t="s">
        <v>3</v>
      </c>
      <c r="U204" t="s">
        <v>4</v>
      </c>
    </row>
    <row r="205" spans="1:21">
      <c r="A205">
        <v>204</v>
      </c>
      <c r="B205">
        <v>-1</v>
      </c>
      <c r="C205">
        <v>109.1</v>
      </c>
      <c r="D205">
        <v>188.8</v>
      </c>
      <c r="E205">
        <v>68.900000000000006</v>
      </c>
      <c r="F205">
        <v>55.5</v>
      </c>
      <c r="G205">
        <v>3217</v>
      </c>
      <c r="H205">
        <v>145</v>
      </c>
      <c r="I205">
        <v>3.01</v>
      </c>
      <c r="J205">
        <v>3.4</v>
      </c>
      <c r="K205">
        <v>23</v>
      </c>
      <c r="L205">
        <v>106</v>
      </c>
      <c r="M205">
        <v>4800</v>
      </c>
      <c r="N205">
        <v>26</v>
      </c>
      <c r="O205">
        <v>27</v>
      </c>
      <c r="P205">
        <v>22470</v>
      </c>
      <c r="Q205" t="s">
        <v>9</v>
      </c>
      <c r="R205" t="s">
        <v>8</v>
      </c>
      <c r="S205" t="s">
        <v>5</v>
      </c>
      <c r="T205" t="s">
        <v>3</v>
      </c>
      <c r="U205" t="s">
        <v>4</v>
      </c>
    </row>
    <row r="206" spans="1:21">
      <c r="A206">
        <v>205</v>
      </c>
      <c r="B206">
        <v>-1</v>
      </c>
      <c r="C206">
        <v>109.1</v>
      </c>
      <c r="D206">
        <v>188.8</v>
      </c>
      <c r="E206">
        <v>68.900000000000006</v>
      </c>
      <c r="F206">
        <v>55.5</v>
      </c>
      <c r="G206">
        <v>3062</v>
      </c>
      <c r="H206">
        <v>141</v>
      </c>
      <c r="I206">
        <v>3.78</v>
      </c>
      <c r="J206">
        <v>3.15</v>
      </c>
      <c r="K206">
        <v>9.5</v>
      </c>
      <c r="L206">
        <v>114</v>
      </c>
      <c r="M206">
        <v>5400</v>
      </c>
      <c r="N206">
        <v>19</v>
      </c>
      <c r="O206">
        <v>25</v>
      </c>
      <c r="P206">
        <v>22625</v>
      </c>
      <c r="Q206" t="s">
        <v>0</v>
      </c>
      <c r="R206" t="s">
        <v>8</v>
      </c>
      <c r="S206" t="s">
        <v>5</v>
      </c>
      <c r="T206" t="s">
        <v>3</v>
      </c>
      <c r="U206" t="s">
        <v>4</v>
      </c>
    </row>
  </sheetData>
  <autoFilter ref="A1:U1" xr:uid="{3F3A7817-6742-A34D-AEA8-6EC9AB071C20}"/>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FC141-3A6A-2E4E-8020-7E7C95B4D8FA}">
  <dimension ref="A1:Z206"/>
  <sheetViews>
    <sheetView topLeftCell="I1" workbookViewId="0">
      <selection activeCell="K14" sqref="K14"/>
    </sheetView>
  </sheetViews>
  <sheetFormatPr baseColWidth="10" defaultRowHeight="16"/>
  <cols>
    <col min="2" max="4" width="10.83203125" style="214"/>
    <col min="5" max="5" width="10.83203125" style="216"/>
    <col min="6" max="6" width="10.83203125" style="214"/>
    <col min="10" max="10" width="22.33203125" style="214" customWidth="1"/>
    <col min="11" max="11" width="10.83203125" style="214"/>
    <col min="14" max="14" width="12.6640625" customWidth="1"/>
    <col min="24" max="25" width="15.6640625" customWidth="1"/>
    <col min="26" max="26" width="19.33203125" customWidth="1"/>
  </cols>
  <sheetData>
    <row r="1" spans="1:26">
      <c r="A1" s="73" t="s">
        <v>70</v>
      </c>
      <c r="B1" s="213" t="s">
        <v>71</v>
      </c>
      <c r="C1" s="213" t="s">
        <v>72</v>
      </c>
      <c r="D1" s="213" t="s">
        <v>73</v>
      </c>
      <c r="E1" s="215" t="s">
        <v>74</v>
      </c>
      <c r="F1" s="213" t="s">
        <v>75</v>
      </c>
      <c r="G1" s="73" t="s">
        <v>76</v>
      </c>
      <c r="H1" s="73" t="s">
        <v>77</v>
      </c>
      <c r="I1" s="73" t="s">
        <v>78</v>
      </c>
      <c r="J1" s="213" t="s">
        <v>79</v>
      </c>
      <c r="K1" s="213" t="s">
        <v>80</v>
      </c>
      <c r="L1" s="73" t="s">
        <v>81</v>
      </c>
      <c r="M1" s="73" t="s">
        <v>82</v>
      </c>
      <c r="N1" s="73" t="s">
        <v>83</v>
      </c>
      <c r="O1" s="73" t="s">
        <v>85</v>
      </c>
      <c r="P1" s="73" t="s">
        <v>9</v>
      </c>
      <c r="Q1" s="73" t="s">
        <v>86</v>
      </c>
      <c r="R1" s="73" t="s">
        <v>8</v>
      </c>
      <c r="S1" s="73" t="s">
        <v>87</v>
      </c>
      <c r="T1" s="73" t="s">
        <v>5</v>
      </c>
      <c r="U1" s="73" t="s">
        <v>88</v>
      </c>
      <c r="V1" s="73" t="s">
        <v>7</v>
      </c>
      <c r="W1" s="73" t="s">
        <v>6</v>
      </c>
      <c r="X1" s="73" t="s">
        <v>89</v>
      </c>
      <c r="Y1" t="s">
        <v>10</v>
      </c>
      <c r="Z1" s="73" t="s">
        <v>84</v>
      </c>
    </row>
    <row r="2" spans="1:26">
      <c r="A2">
        <v>3</v>
      </c>
      <c r="B2" s="214">
        <v>88.6</v>
      </c>
      <c r="C2" s="214">
        <v>168.8</v>
      </c>
      <c r="D2" s="214">
        <v>64.099999999999994</v>
      </c>
      <c r="E2" s="216">
        <v>48.8</v>
      </c>
      <c r="F2" s="214">
        <v>2548</v>
      </c>
      <c r="G2">
        <v>130</v>
      </c>
      <c r="H2">
        <v>3.47</v>
      </c>
      <c r="I2">
        <v>2.68</v>
      </c>
      <c r="J2" s="214">
        <v>9</v>
      </c>
      <c r="K2" s="214">
        <v>111</v>
      </c>
      <c r="L2">
        <v>5000</v>
      </c>
      <c r="M2">
        <v>21</v>
      </c>
      <c r="N2">
        <v>27</v>
      </c>
      <c r="O2" t="s">
        <v>0</v>
      </c>
      <c r="P2">
        <f>IF(O2=$P$1,1,0)</f>
        <v>0</v>
      </c>
      <c r="Q2" t="s">
        <v>1</v>
      </c>
      <c r="R2">
        <f>IF(Q2=$R$1,1,0)</f>
        <v>0</v>
      </c>
      <c r="S2" t="s">
        <v>2</v>
      </c>
      <c r="T2">
        <f>IF(S2=$T$1,1,0)</f>
        <v>0</v>
      </c>
      <c r="U2" t="s">
        <v>3</v>
      </c>
      <c r="V2">
        <f>IF(U2=$V$1,1,0)</f>
        <v>0</v>
      </c>
      <c r="W2">
        <f>IF(U2=$W$1,1,0)</f>
        <v>0</v>
      </c>
      <c r="X2" t="s">
        <v>4</v>
      </c>
      <c r="Y2">
        <f>IF(X2=$Y$1,1,0)</f>
        <v>0</v>
      </c>
      <c r="Z2">
        <v>13495</v>
      </c>
    </row>
    <row r="3" spans="1:26">
      <c r="A3">
        <v>3</v>
      </c>
      <c r="B3" s="214">
        <v>88.6</v>
      </c>
      <c r="C3" s="214">
        <v>168.8</v>
      </c>
      <c r="D3" s="214">
        <v>64.099999999999994</v>
      </c>
      <c r="E3" s="216">
        <v>48.8</v>
      </c>
      <c r="F3" s="214">
        <v>2548</v>
      </c>
      <c r="G3">
        <v>130</v>
      </c>
      <c r="H3">
        <v>3.47</v>
      </c>
      <c r="I3">
        <v>2.68</v>
      </c>
      <c r="J3" s="214">
        <v>9</v>
      </c>
      <c r="K3" s="214">
        <v>111</v>
      </c>
      <c r="L3">
        <v>5000</v>
      </c>
      <c r="M3">
        <v>21</v>
      </c>
      <c r="N3">
        <v>27</v>
      </c>
      <c r="O3" t="s">
        <v>0</v>
      </c>
      <c r="P3">
        <f t="shared" ref="P3:P66" si="0">IF(O3=$P$1,1,0)</f>
        <v>0</v>
      </c>
      <c r="Q3" t="s">
        <v>1</v>
      </c>
      <c r="R3">
        <f t="shared" ref="R3:R66" si="1">IF(Q3=$R$1,1,0)</f>
        <v>0</v>
      </c>
      <c r="S3" t="s">
        <v>2</v>
      </c>
      <c r="T3">
        <f t="shared" ref="T3:T66" si="2">IF(S3=$T$1,1,0)</f>
        <v>0</v>
      </c>
      <c r="U3" t="s">
        <v>3</v>
      </c>
      <c r="V3">
        <f t="shared" ref="V3:V66" si="3">IF(U3=$V$1,1,0)</f>
        <v>0</v>
      </c>
      <c r="W3">
        <f t="shared" ref="W3:W66" si="4">IF(U3=$W$1,1,0)</f>
        <v>0</v>
      </c>
      <c r="X3" t="s">
        <v>4</v>
      </c>
      <c r="Y3">
        <f t="shared" ref="Y3:Y66" si="5">IF(X3=$Y$1,1,0)</f>
        <v>0</v>
      </c>
      <c r="Z3">
        <v>16500</v>
      </c>
    </row>
    <row r="4" spans="1:26">
      <c r="A4">
        <v>1</v>
      </c>
      <c r="B4" s="214">
        <v>94.5</v>
      </c>
      <c r="C4" s="214">
        <v>171.2</v>
      </c>
      <c r="D4" s="214">
        <v>65.5</v>
      </c>
      <c r="E4" s="216">
        <v>52.4</v>
      </c>
      <c r="F4" s="214">
        <v>2823</v>
      </c>
      <c r="G4">
        <v>152</v>
      </c>
      <c r="H4">
        <v>2.68</v>
      </c>
      <c r="I4">
        <v>3.47</v>
      </c>
      <c r="J4" s="214">
        <v>9</v>
      </c>
      <c r="K4" s="214">
        <v>154</v>
      </c>
      <c r="L4">
        <v>5000</v>
      </c>
      <c r="M4">
        <v>19</v>
      </c>
      <c r="N4">
        <v>26</v>
      </c>
      <c r="O4" t="s">
        <v>0</v>
      </c>
      <c r="P4">
        <f t="shared" si="0"/>
        <v>0</v>
      </c>
      <c r="Q4" t="s">
        <v>1</v>
      </c>
      <c r="R4">
        <f t="shared" si="1"/>
        <v>0</v>
      </c>
      <c r="S4" t="s">
        <v>2</v>
      </c>
      <c r="T4">
        <f t="shared" si="2"/>
        <v>0</v>
      </c>
      <c r="U4" t="s">
        <v>3</v>
      </c>
      <c r="V4">
        <f t="shared" si="3"/>
        <v>0</v>
      </c>
      <c r="W4">
        <f t="shared" si="4"/>
        <v>0</v>
      </c>
      <c r="X4" t="s">
        <v>4</v>
      </c>
      <c r="Y4">
        <f t="shared" si="5"/>
        <v>0</v>
      </c>
      <c r="Z4">
        <v>16500</v>
      </c>
    </row>
    <row r="5" spans="1:26">
      <c r="A5">
        <v>2</v>
      </c>
      <c r="B5" s="214">
        <v>99.8</v>
      </c>
      <c r="C5" s="214">
        <v>176.6</v>
      </c>
      <c r="D5" s="214">
        <v>66.2</v>
      </c>
      <c r="E5" s="216">
        <v>54.3</v>
      </c>
      <c r="F5" s="214">
        <v>2337</v>
      </c>
      <c r="G5">
        <v>109</v>
      </c>
      <c r="H5">
        <v>3.19</v>
      </c>
      <c r="I5">
        <v>3.4</v>
      </c>
      <c r="J5" s="214">
        <v>10</v>
      </c>
      <c r="K5" s="214">
        <v>102</v>
      </c>
      <c r="L5">
        <v>5500</v>
      </c>
      <c r="M5">
        <v>24</v>
      </c>
      <c r="N5">
        <v>30</v>
      </c>
      <c r="O5" t="s">
        <v>0</v>
      </c>
      <c r="P5">
        <f t="shared" si="0"/>
        <v>0</v>
      </c>
      <c r="Q5" t="s">
        <v>1</v>
      </c>
      <c r="R5">
        <f t="shared" si="1"/>
        <v>0</v>
      </c>
      <c r="S5" t="s">
        <v>5</v>
      </c>
      <c r="T5">
        <f t="shared" si="2"/>
        <v>1</v>
      </c>
      <c r="U5" t="s">
        <v>6</v>
      </c>
      <c r="V5">
        <f t="shared" si="3"/>
        <v>0</v>
      </c>
      <c r="W5">
        <f t="shared" si="4"/>
        <v>1</v>
      </c>
      <c r="X5" t="s">
        <v>4</v>
      </c>
      <c r="Y5">
        <f t="shared" si="5"/>
        <v>0</v>
      </c>
      <c r="Z5">
        <v>13950</v>
      </c>
    </row>
    <row r="6" spans="1:26">
      <c r="A6">
        <v>2</v>
      </c>
      <c r="B6" s="214">
        <v>99.4</v>
      </c>
      <c r="C6" s="214">
        <v>176.6</v>
      </c>
      <c r="D6" s="214">
        <v>66.400000000000006</v>
      </c>
      <c r="E6" s="216">
        <v>54.3</v>
      </c>
      <c r="F6" s="214">
        <v>2824</v>
      </c>
      <c r="G6">
        <v>136</v>
      </c>
      <c r="H6">
        <v>3.19</v>
      </c>
      <c r="I6">
        <v>3.4</v>
      </c>
      <c r="J6" s="214">
        <v>8</v>
      </c>
      <c r="K6" s="214">
        <v>115</v>
      </c>
      <c r="L6">
        <v>5500</v>
      </c>
      <c r="M6">
        <v>18</v>
      </c>
      <c r="N6">
        <v>22</v>
      </c>
      <c r="O6" t="s">
        <v>0</v>
      </c>
      <c r="P6">
        <f t="shared" si="0"/>
        <v>0</v>
      </c>
      <c r="Q6" t="s">
        <v>1</v>
      </c>
      <c r="R6">
        <f t="shared" si="1"/>
        <v>0</v>
      </c>
      <c r="S6" t="s">
        <v>5</v>
      </c>
      <c r="T6">
        <f t="shared" si="2"/>
        <v>1</v>
      </c>
      <c r="U6" t="s">
        <v>7</v>
      </c>
      <c r="V6">
        <f t="shared" si="3"/>
        <v>1</v>
      </c>
      <c r="W6">
        <f t="shared" si="4"/>
        <v>0</v>
      </c>
      <c r="X6" t="s">
        <v>4</v>
      </c>
      <c r="Y6">
        <f t="shared" si="5"/>
        <v>0</v>
      </c>
      <c r="Z6">
        <v>17450</v>
      </c>
    </row>
    <row r="7" spans="1:26">
      <c r="A7">
        <v>2</v>
      </c>
      <c r="B7" s="214">
        <v>99.8</v>
      </c>
      <c r="C7" s="214">
        <v>177.3</v>
      </c>
      <c r="D7" s="214">
        <v>66.3</v>
      </c>
      <c r="E7" s="216">
        <v>53.1</v>
      </c>
      <c r="F7" s="214">
        <v>2507</v>
      </c>
      <c r="G7">
        <v>136</v>
      </c>
      <c r="H7">
        <v>3.19</v>
      </c>
      <c r="I7">
        <v>3.4</v>
      </c>
      <c r="J7" s="214">
        <v>8.5</v>
      </c>
      <c r="K7" s="214">
        <v>110</v>
      </c>
      <c r="L7">
        <v>5500</v>
      </c>
      <c r="M7">
        <v>19</v>
      </c>
      <c r="N7">
        <v>25</v>
      </c>
      <c r="O7" t="s">
        <v>0</v>
      </c>
      <c r="P7">
        <f t="shared" si="0"/>
        <v>0</v>
      </c>
      <c r="Q7" t="s">
        <v>1</v>
      </c>
      <c r="R7">
        <f t="shared" si="1"/>
        <v>0</v>
      </c>
      <c r="S7" t="s">
        <v>2</v>
      </c>
      <c r="T7">
        <f t="shared" si="2"/>
        <v>0</v>
      </c>
      <c r="U7" t="s">
        <v>6</v>
      </c>
      <c r="V7">
        <f t="shared" si="3"/>
        <v>0</v>
      </c>
      <c r="W7">
        <f t="shared" si="4"/>
        <v>1</v>
      </c>
      <c r="X7" t="s">
        <v>4</v>
      </c>
      <c r="Y7">
        <f t="shared" si="5"/>
        <v>0</v>
      </c>
      <c r="Z7">
        <v>15250</v>
      </c>
    </row>
    <row r="8" spans="1:26">
      <c r="A8">
        <v>1</v>
      </c>
      <c r="B8" s="214">
        <v>105.8</v>
      </c>
      <c r="C8" s="214">
        <v>192.7</v>
      </c>
      <c r="D8" s="214">
        <v>71.400000000000006</v>
      </c>
      <c r="E8" s="216">
        <v>55.7</v>
      </c>
      <c r="F8" s="214">
        <v>2844</v>
      </c>
      <c r="G8">
        <v>136</v>
      </c>
      <c r="H8">
        <v>3.19</v>
      </c>
      <c r="I8">
        <v>3.4</v>
      </c>
      <c r="J8" s="214">
        <v>8.5</v>
      </c>
      <c r="K8" s="214">
        <v>110</v>
      </c>
      <c r="L8">
        <v>5500</v>
      </c>
      <c r="M8">
        <v>19</v>
      </c>
      <c r="N8">
        <v>25</v>
      </c>
      <c r="O8" t="s">
        <v>0</v>
      </c>
      <c r="P8">
        <f t="shared" si="0"/>
        <v>0</v>
      </c>
      <c r="Q8" t="s">
        <v>1</v>
      </c>
      <c r="R8">
        <f t="shared" si="1"/>
        <v>0</v>
      </c>
      <c r="S8" t="s">
        <v>5</v>
      </c>
      <c r="T8">
        <f t="shared" si="2"/>
        <v>1</v>
      </c>
      <c r="U8" t="s">
        <v>6</v>
      </c>
      <c r="V8">
        <f t="shared" si="3"/>
        <v>0</v>
      </c>
      <c r="W8">
        <f t="shared" si="4"/>
        <v>1</v>
      </c>
      <c r="X8" t="s">
        <v>4</v>
      </c>
      <c r="Y8">
        <f t="shared" si="5"/>
        <v>0</v>
      </c>
      <c r="Z8">
        <v>17710</v>
      </c>
    </row>
    <row r="9" spans="1:26">
      <c r="A9">
        <v>1</v>
      </c>
      <c r="B9" s="214">
        <v>105.8</v>
      </c>
      <c r="C9" s="214">
        <v>192.7</v>
      </c>
      <c r="D9" s="214">
        <v>71.400000000000006</v>
      </c>
      <c r="E9" s="216">
        <v>55.7</v>
      </c>
      <c r="F9" s="214">
        <v>2954</v>
      </c>
      <c r="G9">
        <v>136</v>
      </c>
      <c r="H9">
        <v>3.19</v>
      </c>
      <c r="I9">
        <v>3.4</v>
      </c>
      <c r="J9" s="214">
        <v>8.5</v>
      </c>
      <c r="K9" s="214">
        <v>110</v>
      </c>
      <c r="L9">
        <v>5500</v>
      </c>
      <c r="M9">
        <v>19</v>
      </c>
      <c r="N9">
        <v>25</v>
      </c>
      <c r="O9" t="s">
        <v>0</v>
      </c>
      <c r="P9">
        <f t="shared" si="0"/>
        <v>0</v>
      </c>
      <c r="Q9" t="s">
        <v>1</v>
      </c>
      <c r="R9">
        <f t="shared" si="1"/>
        <v>0</v>
      </c>
      <c r="S9" t="s">
        <v>5</v>
      </c>
      <c r="T9">
        <f t="shared" si="2"/>
        <v>1</v>
      </c>
      <c r="U9" t="s">
        <v>6</v>
      </c>
      <c r="V9">
        <f t="shared" si="3"/>
        <v>0</v>
      </c>
      <c r="W9">
        <f t="shared" si="4"/>
        <v>1</v>
      </c>
      <c r="X9" t="s">
        <v>4</v>
      </c>
      <c r="Y9">
        <f t="shared" si="5"/>
        <v>0</v>
      </c>
      <c r="Z9">
        <v>18920</v>
      </c>
    </row>
    <row r="10" spans="1:26">
      <c r="A10">
        <v>1</v>
      </c>
      <c r="B10" s="214">
        <v>105.8</v>
      </c>
      <c r="C10" s="214">
        <v>192.7</v>
      </c>
      <c r="D10" s="214">
        <v>71.400000000000006</v>
      </c>
      <c r="E10" s="216">
        <v>55.9</v>
      </c>
      <c r="F10" s="214">
        <v>3086</v>
      </c>
      <c r="G10">
        <v>131</v>
      </c>
      <c r="H10">
        <v>3.13</v>
      </c>
      <c r="I10">
        <v>3.4</v>
      </c>
      <c r="J10" s="214">
        <v>8.3000000000000007</v>
      </c>
      <c r="K10" s="214">
        <v>140</v>
      </c>
      <c r="L10">
        <v>5500</v>
      </c>
      <c r="M10">
        <v>17</v>
      </c>
      <c r="N10">
        <v>20</v>
      </c>
      <c r="O10" t="s">
        <v>0</v>
      </c>
      <c r="P10">
        <f t="shared" si="0"/>
        <v>0</v>
      </c>
      <c r="Q10" t="s">
        <v>8</v>
      </c>
      <c r="R10">
        <f t="shared" si="1"/>
        <v>1</v>
      </c>
      <c r="S10" t="s">
        <v>5</v>
      </c>
      <c r="T10">
        <f t="shared" si="2"/>
        <v>1</v>
      </c>
      <c r="U10" t="s">
        <v>6</v>
      </c>
      <c r="V10">
        <f t="shared" si="3"/>
        <v>0</v>
      </c>
      <c r="W10">
        <f t="shared" si="4"/>
        <v>1</v>
      </c>
      <c r="X10" t="s">
        <v>4</v>
      </c>
      <c r="Y10">
        <f t="shared" si="5"/>
        <v>0</v>
      </c>
      <c r="Z10">
        <v>23875</v>
      </c>
    </row>
    <row r="11" spans="1:26">
      <c r="A11">
        <v>0</v>
      </c>
      <c r="B11" s="214">
        <v>99.5</v>
      </c>
      <c r="C11" s="214">
        <v>178.2</v>
      </c>
      <c r="D11" s="214">
        <v>67.900000000000006</v>
      </c>
      <c r="E11" s="216">
        <v>52</v>
      </c>
      <c r="F11" s="214">
        <v>3053</v>
      </c>
      <c r="G11">
        <v>131</v>
      </c>
      <c r="H11">
        <v>3.13</v>
      </c>
      <c r="I11">
        <v>3.4</v>
      </c>
      <c r="J11" s="214">
        <v>7</v>
      </c>
      <c r="K11" s="214">
        <v>160</v>
      </c>
      <c r="L11">
        <v>5500</v>
      </c>
      <c r="M11">
        <v>16</v>
      </c>
      <c r="N11">
        <v>22</v>
      </c>
      <c r="O11" t="s">
        <v>0</v>
      </c>
      <c r="P11">
        <f t="shared" si="0"/>
        <v>0</v>
      </c>
      <c r="Q11" t="s">
        <v>8</v>
      </c>
      <c r="R11">
        <f t="shared" si="1"/>
        <v>1</v>
      </c>
      <c r="S11" t="s">
        <v>2</v>
      </c>
      <c r="T11">
        <f t="shared" si="2"/>
        <v>0</v>
      </c>
      <c r="U11" t="s">
        <v>7</v>
      </c>
      <c r="V11">
        <f t="shared" si="3"/>
        <v>1</v>
      </c>
      <c r="W11">
        <f t="shared" si="4"/>
        <v>0</v>
      </c>
      <c r="X11" t="s">
        <v>4</v>
      </c>
      <c r="Y11">
        <f t="shared" si="5"/>
        <v>0</v>
      </c>
      <c r="Z11">
        <v>17859.167000000001</v>
      </c>
    </row>
    <row r="12" spans="1:26">
      <c r="A12">
        <v>2</v>
      </c>
      <c r="B12" s="214">
        <v>101.2</v>
      </c>
      <c r="C12" s="214">
        <v>176.8</v>
      </c>
      <c r="D12" s="214">
        <v>64.8</v>
      </c>
      <c r="E12" s="216">
        <v>54.3</v>
      </c>
      <c r="F12" s="214">
        <v>2395</v>
      </c>
      <c r="G12">
        <v>108</v>
      </c>
      <c r="H12">
        <v>3.5</v>
      </c>
      <c r="I12">
        <v>2.8</v>
      </c>
      <c r="J12" s="214">
        <v>8.8000000000000007</v>
      </c>
      <c r="K12" s="214">
        <v>101</v>
      </c>
      <c r="L12">
        <v>5800</v>
      </c>
      <c r="M12">
        <v>23</v>
      </c>
      <c r="N12">
        <v>29</v>
      </c>
      <c r="O12" t="s">
        <v>0</v>
      </c>
      <c r="P12">
        <f t="shared" si="0"/>
        <v>0</v>
      </c>
      <c r="Q12" t="s">
        <v>1</v>
      </c>
      <c r="R12">
        <f t="shared" si="1"/>
        <v>0</v>
      </c>
      <c r="S12" t="s">
        <v>2</v>
      </c>
      <c r="T12">
        <f t="shared" si="2"/>
        <v>0</v>
      </c>
      <c r="U12" t="s">
        <v>3</v>
      </c>
      <c r="V12">
        <f t="shared" si="3"/>
        <v>0</v>
      </c>
      <c r="W12">
        <f t="shared" si="4"/>
        <v>0</v>
      </c>
      <c r="X12" t="s">
        <v>4</v>
      </c>
      <c r="Y12">
        <f t="shared" si="5"/>
        <v>0</v>
      </c>
      <c r="Z12">
        <v>16430</v>
      </c>
    </row>
    <row r="13" spans="1:26">
      <c r="A13">
        <v>0</v>
      </c>
      <c r="B13" s="214">
        <v>101.2</v>
      </c>
      <c r="C13" s="214">
        <v>176.8</v>
      </c>
      <c r="D13" s="214">
        <v>64.8</v>
      </c>
      <c r="E13" s="216">
        <v>54.3</v>
      </c>
      <c r="F13" s="214">
        <v>2395</v>
      </c>
      <c r="G13">
        <v>108</v>
      </c>
      <c r="H13">
        <v>3.5</v>
      </c>
      <c r="I13">
        <v>2.8</v>
      </c>
      <c r="J13" s="214">
        <v>8.8000000000000007</v>
      </c>
      <c r="K13" s="214">
        <v>101</v>
      </c>
      <c r="L13">
        <v>5800</v>
      </c>
      <c r="M13">
        <v>23</v>
      </c>
      <c r="N13">
        <v>29</v>
      </c>
      <c r="O13" t="s">
        <v>0</v>
      </c>
      <c r="P13">
        <f t="shared" si="0"/>
        <v>0</v>
      </c>
      <c r="Q13" t="s">
        <v>1</v>
      </c>
      <c r="R13">
        <f t="shared" si="1"/>
        <v>0</v>
      </c>
      <c r="S13" t="s">
        <v>5</v>
      </c>
      <c r="T13">
        <f t="shared" si="2"/>
        <v>1</v>
      </c>
      <c r="U13" t="s">
        <v>3</v>
      </c>
      <c r="V13">
        <f t="shared" si="3"/>
        <v>0</v>
      </c>
      <c r="W13">
        <f t="shared" si="4"/>
        <v>0</v>
      </c>
      <c r="X13" t="s">
        <v>4</v>
      </c>
      <c r="Y13">
        <f t="shared" si="5"/>
        <v>0</v>
      </c>
      <c r="Z13">
        <v>16925</v>
      </c>
    </row>
    <row r="14" spans="1:26">
      <c r="A14">
        <v>0</v>
      </c>
      <c r="B14" s="214">
        <v>101.2</v>
      </c>
      <c r="C14" s="214">
        <v>176.8</v>
      </c>
      <c r="D14" s="214">
        <v>64.8</v>
      </c>
      <c r="E14" s="216">
        <v>54.3</v>
      </c>
      <c r="F14" s="214">
        <v>2710</v>
      </c>
      <c r="G14">
        <v>164</v>
      </c>
      <c r="H14">
        <v>3.31</v>
      </c>
      <c r="I14">
        <v>3.19</v>
      </c>
      <c r="J14" s="214">
        <v>9</v>
      </c>
      <c r="K14" s="214">
        <v>121</v>
      </c>
      <c r="L14">
        <v>4250</v>
      </c>
      <c r="M14">
        <v>21</v>
      </c>
      <c r="N14">
        <v>28</v>
      </c>
      <c r="O14" t="s">
        <v>0</v>
      </c>
      <c r="P14">
        <f t="shared" si="0"/>
        <v>0</v>
      </c>
      <c r="Q14" t="s">
        <v>1</v>
      </c>
      <c r="R14">
        <f t="shared" si="1"/>
        <v>0</v>
      </c>
      <c r="S14" t="s">
        <v>2</v>
      </c>
      <c r="T14">
        <f t="shared" si="2"/>
        <v>0</v>
      </c>
      <c r="U14" t="s">
        <v>3</v>
      </c>
      <c r="V14">
        <f t="shared" si="3"/>
        <v>0</v>
      </c>
      <c r="W14">
        <f t="shared" si="4"/>
        <v>0</v>
      </c>
      <c r="X14" t="s">
        <v>4</v>
      </c>
      <c r="Y14">
        <f t="shared" si="5"/>
        <v>0</v>
      </c>
      <c r="Z14">
        <v>20970</v>
      </c>
    </row>
    <row r="15" spans="1:26">
      <c r="A15">
        <v>0</v>
      </c>
      <c r="B15" s="214">
        <v>101.2</v>
      </c>
      <c r="C15" s="214">
        <v>176.8</v>
      </c>
      <c r="D15" s="214">
        <v>64.8</v>
      </c>
      <c r="E15" s="216">
        <v>54.3</v>
      </c>
      <c r="F15" s="214">
        <v>2765</v>
      </c>
      <c r="G15">
        <v>164</v>
      </c>
      <c r="H15">
        <v>3.31</v>
      </c>
      <c r="I15">
        <v>3.19</v>
      </c>
      <c r="J15" s="214">
        <v>9</v>
      </c>
      <c r="K15" s="214">
        <v>121</v>
      </c>
      <c r="L15">
        <v>4250</v>
      </c>
      <c r="M15">
        <v>21</v>
      </c>
      <c r="N15">
        <v>28</v>
      </c>
      <c r="O15" t="s">
        <v>0</v>
      </c>
      <c r="P15">
        <f t="shared" si="0"/>
        <v>0</v>
      </c>
      <c r="Q15" t="s">
        <v>1</v>
      </c>
      <c r="R15">
        <f t="shared" si="1"/>
        <v>0</v>
      </c>
      <c r="S15" t="s">
        <v>5</v>
      </c>
      <c r="T15">
        <f t="shared" si="2"/>
        <v>1</v>
      </c>
      <c r="U15" t="s">
        <v>3</v>
      </c>
      <c r="V15">
        <f t="shared" si="3"/>
        <v>0</v>
      </c>
      <c r="W15">
        <f t="shared" si="4"/>
        <v>0</v>
      </c>
      <c r="X15" t="s">
        <v>4</v>
      </c>
      <c r="Y15">
        <f t="shared" si="5"/>
        <v>0</v>
      </c>
      <c r="Z15">
        <v>21105</v>
      </c>
    </row>
    <row r="16" spans="1:26">
      <c r="A16">
        <v>1</v>
      </c>
      <c r="B16" s="214">
        <v>103.5</v>
      </c>
      <c r="C16" s="214">
        <v>189</v>
      </c>
      <c r="D16" s="214">
        <v>66.900000000000006</v>
      </c>
      <c r="E16" s="216">
        <v>55.7</v>
      </c>
      <c r="F16" s="214">
        <v>3055</v>
      </c>
      <c r="G16">
        <v>164</v>
      </c>
      <c r="H16">
        <v>3.31</v>
      </c>
      <c r="I16">
        <v>3.19</v>
      </c>
      <c r="J16" s="214">
        <v>9</v>
      </c>
      <c r="K16" s="214">
        <v>121</v>
      </c>
      <c r="L16">
        <v>4250</v>
      </c>
      <c r="M16">
        <v>20</v>
      </c>
      <c r="N16">
        <v>25</v>
      </c>
      <c r="O16" t="s">
        <v>0</v>
      </c>
      <c r="P16">
        <f t="shared" si="0"/>
        <v>0</v>
      </c>
      <c r="Q16" t="s">
        <v>1</v>
      </c>
      <c r="R16">
        <f t="shared" si="1"/>
        <v>0</v>
      </c>
      <c r="S16" t="s">
        <v>5</v>
      </c>
      <c r="T16">
        <f t="shared" si="2"/>
        <v>1</v>
      </c>
      <c r="U16" t="s">
        <v>3</v>
      </c>
      <c r="V16">
        <f t="shared" si="3"/>
        <v>0</v>
      </c>
      <c r="W16">
        <f t="shared" si="4"/>
        <v>0</v>
      </c>
      <c r="X16" t="s">
        <v>4</v>
      </c>
      <c r="Y16">
        <f t="shared" si="5"/>
        <v>0</v>
      </c>
      <c r="Z16">
        <v>24565</v>
      </c>
    </row>
    <row r="17" spans="1:26">
      <c r="A17">
        <v>0</v>
      </c>
      <c r="B17" s="214">
        <v>103.5</v>
      </c>
      <c r="C17" s="214">
        <v>189</v>
      </c>
      <c r="D17" s="214">
        <v>66.900000000000006</v>
      </c>
      <c r="E17" s="216">
        <v>55.7</v>
      </c>
      <c r="F17" s="214">
        <v>3230</v>
      </c>
      <c r="G17">
        <v>209</v>
      </c>
      <c r="H17">
        <v>3.62</v>
      </c>
      <c r="I17">
        <v>3.39</v>
      </c>
      <c r="J17" s="214">
        <v>8</v>
      </c>
      <c r="K17" s="214">
        <v>182</v>
      </c>
      <c r="L17">
        <v>5400</v>
      </c>
      <c r="M17">
        <v>16</v>
      </c>
      <c r="N17">
        <v>22</v>
      </c>
      <c r="O17" t="s">
        <v>0</v>
      </c>
      <c r="P17">
        <f t="shared" si="0"/>
        <v>0</v>
      </c>
      <c r="Q17" t="s">
        <v>1</v>
      </c>
      <c r="R17">
        <f t="shared" si="1"/>
        <v>0</v>
      </c>
      <c r="S17" t="s">
        <v>5</v>
      </c>
      <c r="T17">
        <f t="shared" si="2"/>
        <v>1</v>
      </c>
      <c r="U17" t="s">
        <v>3</v>
      </c>
      <c r="V17">
        <f t="shared" si="3"/>
        <v>0</v>
      </c>
      <c r="W17">
        <f t="shared" si="4"/>
        <v>0</v>
      </c>
      <c r="X17" t="s">
        <v>4</v>
      </c>
      <c r="Y17">
        <f t="shared" si="5"/>
        <v>0</v>
      </c>
      <c r="Z17">
        <v>30760</v>
      </c>
    </row>
    <row r="18" spans="1:26">
      <c r="A18">
        <v>0</v>
      </c>
      <c r="B18" s="214">
        <v>103.5</v>
      </c>
      <c r="C18" s="214">
        <v>193.8</v>
      </c>
      <c r="D18" s="214">
        <v>67.900000000000006</v>
      </c>
      <c r="E18" s="216">
        <v>53.7</v>
      </c>
      <c r="F18" s="214">
        <v>3380</v>
      </c>
      <c r="G18">
        <v>209</v>
      </c>
      <c r="H18">
        <v>3.62</v>
      </c>
      <c r="I18">
        <v>3.39</v>
      </c>
      <c r="J18" s="214">
        <v>8</v>
      </c>
      <c r="K18" s="214">
        <v>182</v>
      </c>
      <c r="L18">
        <v>5400</v>
      </c>
      <c r="M18">
        <v>16</v>
      </c>
      <c r="N18">
        <v>22</v>
      </c>
      <c r="O18" t="s">
        <v>0</v>
      </c>
      <c r="P18">
        <f t="shared" si="0"/>
        <v>0</v>
      </c>
      <c r="Q18" t="s">
        <v>1</v>
      </c>
      <c r="R18">
        <f t="shared" si="1"/>
        <v>0</v>
      </c>
      <c r="S18" t="s">
        <v>2</v>
      </c>
      <c r="T18">
        <f t="shared" si="2"/>
        <v>0</v>
      </c>
      <c r="U18" t="s">
        <v>3</v>
      </c>
      <c r="V18">
        <f t="shared" si="3"/>
        <v>0</v>
      </c>
      <c r="W18">
        <f t="shared" si="4"/>
        <v>0</v>
      </c>
      <c r="X18" t="s">
        <v>4</v>
      </c>
      <c r="Y18">
        <f t="shared" si="5"/>
        <v>0</v>
      </c>
      <c r="Z18">
        <v>41315</v>
      </c>
    </row>
    <row r="19" spans="1:26">
      <c r="A19">
        <v>0</v>
      </c>
      <c r="B19" s="214">
        <v>110</v>
      </c>
      <c r="C19" s="214">
        <v>197</v>
      </c>
      <c r="D19" s="214">
        <v>70.900000000000006</v>
      </c>
      <c r="E19" s="216">
        <v>56.3</v>
      </c>
      <c r="F19" s="214">
        <v>3505</v>
      </c>
      <c r="G19">
        <v>209</v>
      </c>
      <c r="H19">
        <v>3.62</v>
      </c>
      <c r="I19">
        <v>3.39</v>
      </c>
      <c r="J19" s="214">
        <v>8</v>
      </c>
      <c r="K19" s="214">
        <v>182</v>
      </c>
      <c r="L19">
        <v>5400</v>
      </c>
      <c r="M19">
        <v>15</v>
      </c>
      <c r="N19">
        <v>20</v>
      </c>
      <c r="O19" t="s">
        <v>0</v>
      </c>
      <c r="P19">
        <f t="shared" si="0"/>
        <v>0</v>
      </c>
      <c r="Q19" t="s">
        <v>1</v>
      </c>
      <c r="R19">
        <f t="shared" si="1"/>
        <v>0</v>
      </c>
      <c r="S19" t="s">
        <v>5</v>
      </c>
      <c r="T19">
        <f t="shared" si="2"/>
        <v>1</v>
      </c>
      <c r="U19" t="s">
        <v>3</v>
      </c>
      <c r="V19">
        <f t="shared" si="3"/>
        <v>0</v>
      </c>
      <c r="W19">
        <f t="shared" si="4"/>
        <v>0</v>
      </c>
      <c r="X19" t="s">
        <v>4</v>
      </c>
      <c r="Y19">
        <f t="shared" si="5"/>
        <v>0</v>
      </c>
      <c r="Z19">
        <v>36880</v>
      </c>
    </row>
    <row r="20" spans="1:26">
      <c r="A20">
        <v>2</v>
      </c>
      <c r="B20" s="214">
        <v>88.4</v>
      </c>
      <c r="C20" s="214">
        <v>141.1</v>
      </c>
      <c r="D20" s="214">
        <v>60.3</v>
      </c>
      <c r="E20" s="216">
        <v>53.2</v>
      </c>
      <c r="F20" s="214">
        <v>1488</v>
      </c>
      <c r="G20">
        <v>61</v>
      </c>
      <c r="H20">
        <v>2.91</v>
      </c>
      <c r="I20">
        <v>3.03</v>
      </c>
      <c r="J20" s="214">
        <v>9.5</v>
      </c>
      <c r="K20" s="214">
        <v>48</v>
      </c>
      <c r="L20">
        <v>5100</v>
      </c>
      <c r="M20">
        <v>47</v>
      </c>
      <c r="N20">
        <v>53</v>
      </c>
      <c r="O20" t="s">
        <v>0</v>
      </c>
      <c r="P20">
        <f t="shared" si="0"/>
        <v>0</v>
      </c>
      <c r="Q20" t="s">
        <v>1</v>
      </c>
      <c r="R20">
        <f t="shared" si="1"/>
        <v>0</v>
      </c>
      <c r="S20" t="s">
        <v>2</v>
      </c>
      <c r="T20">
        <f t="shared" si="2"/>
        <v>0</v>
      </c>
      <c r="U20" t="s">
        <v>6</v>
      </c>
      <c r="V20">
        <f t="shared" si="3"/>
        <v>0</v>
      </c>
      <c r="W20">
        <f t="shared" si="4"/>
        <v>1</v>
      </c>
      <c r="X20" t="s">
        <v>4</v>
      </c>
      <c r="Y20">
        <f t="shared" si="5"/>
        <v>0</v>
      </c>
      <c r="Z20">
        <v>5151</v>
      </c>
    </row>
    <row r="21" spans="1:26">
      <c r="A21">
        <v>1</v>
      </c>
      <c r="B21" s="214">
        <v>94.5</v>
      </c>
      <c r="C21" s="214">
        <v>155.9</v>
      </c>
      <c r="D21" s="214">
        <v>63.6</v>
      </c>
      <c r="E21" s="216">
        <v>52</v>
      </c>
      <c r="F21" s="214">
        <v>1874</v>
      </c>
      <c r="G21">
        <v>90</v>
      </c>
      <c r="H21">
        <v>3.03</v>
      </c>
      <c r="I21">
        <v>3.11</v>
      </c>
      <c r="J21" s="214">
        <v>9.6</v>
      </c>
      <c r="K21" s="214">
        <v>70</v>
      </c>
      <c r="L21">
        <v>5400</v>
      </c>
      <c r="M21">
        <v>38</v>
      </c>
      <c r="N21">
        <v>43</v>
      </c>
      <c r="O21" t="s">
        <v>0</v>
      </c>
      <c r="P21">
        <f t="shared" si="0"/>
        <v>0</v>
      </c>
      <c r="Q21" t="s">
        <v>1</v>
      </c>
      <c r="R21">
        <f t="shared" si="1"/>
        <v>0</v>
      </c>
      <c r="S21" t="s">
        <v>2</v>
      </c>
      <c r="T21">
        <f t="shared" si="2"/>
        <v>0</v>
      </c>
      <c r="U21" t="s">
        <v>6</v>
      </c>
      <c r="V21">
        <f t="shared" si="3"/>
        <v>0</v>
      </c>
      <c r="W21">
        <f t="shared" si="4"/>
        <v>1</v>
      </c>
      <c r="X21" t="s">
        <v>4</v>
      </c>
      <c r="Y21">
        <f t="shared" si="5"/>
        <v>0</v>
      </c>
      <c r="Z21">
        <v>6295</v>
      </c>
    </row>
    <row r="22" spans="1:26">
      <c r="A22">
        <v>0</v>
      </c>
      <c r="B22" s="214">
        <v>94.5</v>
      </c>
      <c r="C22" s="214">
        <v>158.80000000000001</v>
      </c>
      <c r="D22" s="214">
        <v>63.6</v>
      </c>
      <c r="E22" s="216">
        <v>52</v>
      </c>
      <c r="F22" s="214">
        <v>1909</v>
      </c>
      <c r="G22">
        <v>90</v>
      </c>
      <c r="H22">
        <v>3.03</v>
      </c>
      <c r="I22">
        <v>3.11</v>
      </c>
      <c r="J22" s="214">
        <v>9.6</v>
      </c>
      <c r="K22" s="214">
        <v>70</v>
      </c>
      <c r="L22">
        <v>5400</v>
      </c>
      <c r="M22">
        <v>38</v>
      </c>
      <c r="N22">
        <v>43</v>
      </c>
      <c r="O22" t="s">
        <v>0</v>
      </c>
      <c r="P22">
        <f t="shared" si="0"/>
        <v>0</v>
      </c>
      <c r="Q22" t="s">
        <v>1</v>
      </c>
      <c r="R22">
        <f t="shared" si="1"/>
        <v>0</v>
      </c>
      <c r="S22" t="s">
        <v>5</v>
      </c>
      <c r="T22">
        <f t="shared" si="2"/>
        <v>1</v>
      </c>
      <c r="U22" t="s">
        <v>6</v>
      </c>
      <c r="V22">
        <f t="shared" si="3"/>
        <v>0</v>
      </c>
      <c r="W22">
        <f t="shared" si="4"/>
        <v>1</v>
      </c>
      <c r="X22" t="s">
        <v>4</v>
      </c>
      <c r="Y22">
        <f t="shared" si="5"/>
        <v>0</v>
      </c>
      <c r="Z22">
        <v>6575</v>
      </c>
    </row>
    <row r="23" spans="1:26">
      <c r="A23">
        <v>1</v>
      </c>
      <c r="B23" s="214">
        <v>93.7</v>
      </c>
      <c r="C23" s="214">
        <v>157.30000000000001</v>
      </c>
      <c r="D23" s="214">
        <v>63.8</v>
      </c>
      <c r="E23" s="216">
        <v>50.8</v>
      </c>
      <c r="F23" s="214">
        <v>1876</v>
      </c>
      <c r="G23">
        <v>90</v>
      </c>
      <c r="H23">
        <v>2.97</v>
      </c>
      <c r="I23">
        <v>3.23</v>
      </c>
      <c r="J23" s="214">
        <v>9.41</v>
      </c>
      <c r="K23" s="214">
        <v>68</v>
      </c>
      <c r="L23">
        <v>5500</v>
      </c>
      <c r="M23">
        <v>37</v>
      </c>
      <c r="N23">
        <v>41</v>
      </c>
      <c r="O23" t="s">
        <v>0</v>
      </c>
      <c r="P23">
        <f t="shared" si="0"/>
        <v>0</v>
      </c>
      <c r="Q23" t="s">
        <v>1</v>
      </c>
      <c r="R23">
        <f t="shared" si="1"/>
        <v>0</v>
      </c>
      <c r="S23" t="s">
        <v>2</v>
      </c>
      <c r="T23">
        <f t="shared" si="2"/>
        <v>0</v>
      </c>
      <c r="U23" t="s">
        <v>6</v>
      </c>
      <c r="V23">
        <f t="shared" si="3"/>
        <v>0</v>
      </c>
      <c r="W23">
        <f t="shared" si="4"/>
        <v>1</v>
      </c>
      <c r="X23" t="s">
        <v>4</v>
      </c>
      <c r="Y23">
        <f t="shared" si="5"/>
        <v>0</v>
      </c>
      <c r="Z23">
        <v>5572</v>
      </c>
    </row>
    <row r="24" spans="1:26">
      <c r="A24">
        <v>1</v>
      </c>
      <c r="B24" s="214">
        <v>93.7</v>
      </c>
      <c r="C24" s="214">
        <v>157.30000000000001</v>
      </c>
      <c r="D24" s="214">
        <v>63.8</v>
      </c>
      <c r="E24" s="216">
        <v>50.8</v>
      </c>
      <c r="F24" s="214">
        <v>1876</v>
      </c>
      <c r="G24">
        <v>90</v>
      </c>
      <c r="H24">
        <v>2.97</v>
      </c>
      <c r="I24">
        <v>3.23</v>
      </c>
      <c r="J24" s="214">
        <v>9.4</v>
      </c>
      <c r="K24" s="214">
        <v>68</v>
      </c>
      <c r="L24">
        <v>5500</v>
      </c>
      <c r="M24">
        <v>31</v>
      </c>
      <c r="N24">
        <v>38</v>
      </c>
      <c r="O24" t="s">
        <v>0</v>
      </c>
      <c r="P24">
        <f t="shared" si="0"/>
        <v>0</v>
      </c>
      <c r="Q24" t="s">
        <v>1</v>
      </c>
      <c r="R24">
        <f t="shared" si="1"/>
        <v>0</v>
      </c>
      <c r="S24" t="s">
        <v>2</v>
      </c>
      <c r="T24">
        <f t="shared" si="2"/>
        <v>0</v>
      </c>
      <c r="U24" t="s">
        <v>6</v>
      </c>
      <c r="V24">
        <f t="shared" si="3"/>
        <v>0</v>
      </c>
      <c r="W24">
        <f t="shared" si="4"/>
        <v>1</v>
      </c>
      <c r="X24" t="s">
        <v>4</v>
      </c>
      <c r="Y24">
        <f t="shared" si="5"/>
        <v>0</v>
      </c>
      <c r="Z24">
        <v>6377</v>
      </c>
    </row>
    <row r="25" spans="1:26">
      <c r="A25">
        <v>1</v>
      </c>
      <c r="B25" s="214">
        <v>93.7</v>
      </c>
      <c r="C25" s="214">
        <v>157.30000000000001</v>
      </c>
      <c r="D25" s="214">
        <v>63.8</v>
      </c>
      <c r="E25" s="216">
        <v>50.8</v>
      </c>
      <c r="F25" s="214">
        <v>2128</v>
      </c>
      <c r="G25">
        <v>98</v>
      </c>
      <c r="H25">
        <v>3.03</v>
      </c>
      <c r="I25">
        <v>3.39</v>
      </c>
      <c r="J25" s="214">
        <v>7.6</v>
      </c>
      <c r="K25" s="214">
        <v>102</v>
      </c>
      <c r="L25">
        <v>5500</v>
      </c>
      <c r="M25">
        <v>24</v>
      </c>
      <c r="N25">
        <v>30</v>
      </c>
      <c r="O25" t="s">
        <v>0</v>
      </c>
      <c r="P25">
        <f t="shared" si="0"/>
        <v>0</v>
      </c>
      <c r="Q25" t="s">
        <v>8</v>
      </c>
      <c r="R25">
        <f t="shared" si="1"/>
        <v>1</v>
      </c>
      <c r="S25" t="s">
        <v>2</v>
      </c>
      <c r="T25">
        <f t="shared" si="2"/>
        <v>0</v>
      </c>
      <c r="U25" t="s">
        <v>6</v>
      </c>
      <c r="V25">
        <f t="shared" si="3"/>
        <v>0</v>
      </c>
      <c r="W25">
        <f t="shared" si="4"/>
        <v>1</v>
      </c>
      <c r="X25" t="s">
        <v>4</v>
      </c>
      <c r="Y25">
        <f t="shared" si="5"/>
        <v>0</v>
      </c>
      <c r="Z25">
        <v>7957</v>
      </c>
    </row>
    <row r="26" spans="1:26">
      <c r="A26">
        <v>1</v>
      </c>
      <c r="B26" s="214">
        <v>93.7</v>
      </c>
      <c r="C26" s="214">
        <v>157.30000000000001</v>
      </c>
      <c r="D26" s="214">
        <v>63.8</v>
      </c>
      <c r="E26" s="216">
        <v>50.6</v>
      </c>
      <c r="F26" s="214">
        <v>1967</v>
      </c>
      <c r="G26">
        <v>90</v>
      </c>
      <c r="H26">
        <v>2.97</v>
      </c>
      <c r="I26">
        <v>3.23</v>
      </c>
      <c r="J26" s="214">
        <v>9.4</v>
      </c>
      <c r="K26" s="214">
        <v>68</v>
      </c>
      <c r="L26">
        <v>5500</v>
      </c>
      <c r="M26">
        <v>31</v>
      </c>
      <c r="N26">
        <v>38</v>
      </c>
      <c r="O26" t="s">
        <v>0</v>
      </c>
      <c r="P26">
        <f t="shared" si="0"/>
        <v>0</v>
      </c>
      <c r="Q26" t="s">
        <v>1</v>
      </c>
      <c r="R26">
        <f t="shared" si="1"/>
        <v>0</v>
      </c>
      <c r="S26" t="s">
        <v>5</v>
      </c>
      <c r="T26">
        <f t="shared" si="2"/>
        <v>1</v>
      </c>
      <c r="U26" t="s">
        <v>6</v>
      </c>
      <c r="V26">
        <f t="shared" si="3"/>
        <v>0</v>
      </c>
      <c r="W26">
        <f t="shared" si="4"/>
        <v>1</v>
      </c>
      <c r="X26" t="s">
        <v>4</v>
      </c>
      <c r="Y26">
        <f t="shared" si="5"/>
        <v>0</v>
      </c>
      <c r="Z26">
        <v>6229</v>
      </c>
    </row>
    <row r="27" spans="1:26">
      <c r="A27">
        <v>1</v>
      </c>
      <c r="B27" s="214">
        <v>93.7</v>
      </c>
      <c r="C27" s="214">
        <v>157.30000000000001</v>
      </c>
      <c r="D27" s="214">
        <v>63.8</v>
      </c>
      <c r="E27" s="216">
        <v>50.6</v>
      </c>
      <c r="F27" s="214">
        <v>1989</v>
      </c>
      <c r="G27">
        <v>90</v>
      </c>
      <c r="H27">
        <v>2.97</v>
      </c>
      <c r="I27">
        <v>3.23</v>
      </c>
      <c r="J27" s="214">
        <v>9.4</v>
      </c>
      <c r="K27" s="214">
        <v>68</v>
      </c>
      <c r="L27">
        <v>5500</v>
      </c>
      <c r="M27">
        <v>31</v>
      </c>
      <c r="N27">
        <v>38</v>
      </c>
      <c r="O27" t="s">
        <v>0</v>
      </c>
      <c r="P27">
        <f t="shared" si="0"/>
        <v>0</v>
      </c>
      <c r="Q27" t="s">
        <v>1</v>
      </c>
      <c r="R27">
        <f t="shared" si="1"/>
        <v>0</v>
      </c>
      <c r="S27" t="s">
        <v>5</v>
      </c>
      <c r="T27">
        <f t="shared" si="2"/>
        <v>1</v>
      </c>
      <c r="U27" t="s">
        <v>6</v>
      </c>
      <c r="V27">
        <f t="shared" si="3"/>
        <v>0</v>
      </c>
      <c r="W27">
        <f t="shared" si="4"/>
        <v>1</v>
      </c>
      <c r="X27" t="s">
        <v>4</v>
      </c>
      <c r="Y27">
        <f t="shared" si="5"/>
        <v>0</v>
      </c>
      <c r="Z27">
        <v>6692</v>
      </c>
    </row>
    <row r="28" spans="1:26">
      <c r="A28">
        <v>1</v>
      </c>
      <c r="B28" s="214">
        <v>93.7</v>
      </c>
      <c r="C28" s="214">
        <v>157.30000000000001</v>
      </c>
      <c r="D28" s="214">
        <v>63.8</v>
      </c>
      <c r="E28" s="216">
        <v>50.6</v>
      </c>
      <c r="F28" s="214">
        <v>1989</v>
      </c>
      <c r="G28">
        <v>90</v>
      </c>
      <c r="H28">
        <v>2.97</v>
      </c>
      <c r="I28">
        <v>3.23</v>
      </c>
      <c r="J28" s="214">
        <v>9.4</v>
      </c>
      <c r="K28" s="214">
        <v>68</v>
      </c>
      <c r="L28">
        <v>5500</v>
      </c>
      <c r="M28">
        <v>31</v>
      </c>
      <c r="N28">
        <v>38</v>
      </c>
      <c r="O28" t="s">
        <v>0</v>
      </c>
      <c r="P28">
        <f t="shared" si="0"/>
        <v>0</v>
      </c>
      <c r="Q28" t="s">
        <v>1</v>
      </c>
      <c r="R28">
        <f t="shared" si="1"/>
        <v>0</v>
      </c>
      <c r="S28" t="s">
        <v>5</v>
      </c>
      <c r="T28">
        <f t="shared" si="2"/>
        <v>1</v>
      </c>
      <c r="U28" t="s">
        <v>6</v>
      </c>
      <c r="V28">
        <f t="shared" si="3"/>
        <v>0</v>
      </c>
      <c r="W28">
        <f t="shared" si="4"/>
        <v>1</v>
      </c>
      <c r="X28" t="s">
        <v>4</v>
      </c>
      <c r="Y28">
        <f t="shared" si="5"/>
        <v>0</v>
      </c>
      <c r="Z28">
        <v>7609</v>
      </c>
    </row>
    <row r="29" spans="1:26">
      <c r="A29">
        <v>1</v>
      </c>
      <c r="B29" s="214">
        <v>93.7</v>
      </c>
      <c r="C29" s="214">
        <v>157.30000000000001</v>
      </c>
      <c r="D29" s="214">
        <v>63.8</v>
      </c>
      <c r="E29" s="216">
        <v>50.6</v>
      </c>
      <c r="F29" s="214">
        <v>2191</v>
      </c>
      <c r="G29">
        <v>98</v>
      </c>
      <c r="H29">
        <v>3.03</v>
      </c>
      <c r="I29">
        <v>3.39</v>
      </c>
      <c r="J29" s="214">
        <v>7.6</v>
      </c>
      <c r="K29" s="214">
        <v>102</v>
      </c>
      <c r="L29">
        <v>5500</v>
      </c>
      <c r="M29">
        <v>24</v>
      </c>
      <c r="N29">
        <v>30</v>
      </c>
      <c r="O29" t="s">
        <v>0</v>
      </c>
      <c r="P29">
        <f t="shared" si="0"/>
        <v>0</v>
      </c>
      <c r="Q29" t="s">
        <v>8</v>
      </c>
      <c r="R29">
        <f t="shared" si="1"/>
        <v>1</v>
      </c>
      <c r="S29" t="s">
        <v>2</v>
      </c>
      <c r="T29">
        <f t="shared" si="2"/>
        <v>0</v>
      </c>
      <c r="U29" t="s">
        <v>6</v>
      </c>
      <c r="V29">
        <f t="shared" si="3"/>
        <v>0</v>
      </c>
      <c r="W29">
        <f t="shared" si="4"/>
        <v>1</v>
      </c>
      <c r="X29" t="s">
        <v>4</v>
      </c>
      <c r="Y29">
        <f t="shared" si="5"/>
        <v>0</v>
      </c>
      <c r="Z29">
        <v>8558</v>
      </c>
    </row>
    <row r="30" spans="1:26">
      <c r="A30">
        <v>-1</v>
      </c>
      <c r="B30" s="214">
        <v>103.3</v>
      </c>
      <c r="C30" s="214">
        <v>174.6</v>
      </c>
      <c r="D30" s="214">
        <v>64.599999999999994</v>
      </c>
      <c r="E30" s="216">
        <v>59.8</v>
      </c>
      <c r="F30" s="214">
        <v>2535</v>
      </c>
      <c r="G30">
        <v>122</v>
      </c>
      <c r="H30">
        <v>3.34</v>
      </c>
      <c r="I30">
        <v>3.46</v>
      </c>
      <c r="J30" s="214">
        <v>8.5</v>
      </c>
      <c r="K30" s="214">
        <v>88</v>
      </c>
      <c r="L30">
        <v>5000</v>
      </c>
      <c r="M30">
        <v>24</v>
      </c>
      <c r="N30">
        <v>30</v>
      </c>
      <c r="O30" t="s">
        <v>0</v>
      </c>
      <c r="P30">
        <f t="shared" si="0"/>
        <v>0</v>
      </c>
      <c r="Q30" t="s">
        <v>1</v>
      </c>
      <c r="R30">
        <f t="shared" si="1"/>
        <v>0</v>
      </c>
      <c r="S30" t="s">
        <v>5</v>
      </c>
      <c r="T30">
        <f t="shared" si="2"/>
        <v>1</v>
      </c>
      <c r="U30" t="s">
        <v>6</v>
      </c>
      <c r="V30">
        <f t="shared" si="3"/>
        <v>0</v>
      </c>
      <c r="W30">
        <f t="shared" si="4"/>
        <v>1</v>
      </c>
      <c r="X30" t="s">
        <v>4</v>
      </c>
      <c r="Y30">
        <f t="shared" si="5"/>
        <v>0</v>
      </c>
      <c r="Z30">
        <v>8921</v>
      </c>
    </row>
    <row r="31" spans="1:26">
      <c r="A31">
        <v>3</v>
      </c>
      <c r="B31" s="214">
        <v>95.9</v>
      </c>
      <c r="C31" s="214">
        <v>173.2</v>
      </c>
      <c r="D31" s="214">
        <v>66.3</v>
      </c>
      <c r="E31" s="216">
        <v>50.2</v>
      </c>
      <c r="F31" s="214">
        <v>2811</v>
      </c>
      <c r="G31">
        <v>156</v>
      </c>
      <c r="H31">
        <v>3.6</v>
      </c>
      <c r="I31">
        <v>3.9</v>
      </c>
      <c r="J31" s="214">
        <v>7</v>
      </c>
      <c r="K31" s="214">
        <v>145</v>
      </c>
      <c r="L31">
        <v>5000</v>
      </c>
      <c r="M31">
        <v>19</v>
      </c>
      <c r="N31">
        <v>24</v>
      </c>
      <c r="O31" t="s">
        <v>0</v>
      </c>
      <c r="P31">
        <f t="shared" si="0"/>
        <v>0</v>
      </c>
      <c r="Q31" t="s">
        <v>8</v>
      </c>
      <c r="R31">
        <f t="shared" si="1"/>
        <v>1</v>
      </c>
      <c r="S31" t="s">
        <v>2</v>
      </c>
      <c r="T31">
        <f t="shared" si="2"/>
        <v>0</v>
      </c>
      <c r="U31" t="s">
        <v>6</v>
      </c>
      <c r="V31">
        <f t="shared" si="3"/>
        <v>0</v>
      </c>
      <c r="W31">
        <f t="shared" si="4"/>
        <v>1</v>
      </c>
      <c r="X31" t="s">
        <v>4</v>
      </c>
      <c r="Y31">
        <f t="shared" si="5"/>
        <v>0</v>
      </c>
      <c r="Z31">
        <v>12964</v>
      </c>
    </row>
    <row r="32" spans="1:26">
      <c r="A32">
        <v>2</v>
      </c>
      <c r="B32" s="214">
        <v>86.6</v>
      </c>
      <c r="C32" s="214">
        <v>144.6</v>
      </c>
      <c r="D32" s="214">
        <v>63.9</v>
      </c>
      <c r="E32" s="216">
        <v>50.8</v>
      </c>
      <c r="F32" s="214">
        <v>1713</v>
      </c>
      <c r="G32">
        <v>92</v>
      </c>
      <c r="H32">
        <v>2.91</v>
      </c>
      <c r="I32">
        <v>3.41</v>
      </c>
      <c r="J32" s="214">
        <v>9.6</v>
      </c>
      <c r="K32" s="214">
        <v>58</v>
      </c>
      <c r="L32">
        <v>4800</v>
      </c>
      <c r="M32">
        <v>49</v>
      </c>
      <c r="N32">
        <v>54</v>
      </c>
      <c r="O32" t="s">
        <v>0</v>
      </c>
      <c r="P32">
        <f t="shared" si="0"/>
        <v>0</v>
      </c>
      <c r="Q32" t="s">
        <v>1</v>
      </c>
      <c r="R32">
        <f t="shared" si="1"/>
        <v>0</v>
      </c>
      <c r="S32" t="s">
        <v>2</v>
      </c>
      <c r="T32">
        <f t="shared" si="2"/>
        <v>0</v>
      </c>
      <c r="U32" t="s">
        <v>6</v>
      </c>
      <c r="V32">
        <f t="shared" si="3"/>
        <v>0</v>
      </c>
      <c r="W32">
        <f t="shared" si="4"/>
        <v>1</v>
      </c>
      <c r="X32" t="s">
        <v>4</v>
      </c>
      <c r="Y32">
        <f t="shared" si="5"/>
        <v>0</v>
      </c>
      <c r="Z32">
        <v>6479</v>
      </c>
    </row>
    <row r="33" spans="1:26">
      <c r="A33">
        <v>2</v>
      </c>
      <c r="B33" s="214">
        <v>86.6</v>
      </c>
      <c r="C33" s="214">
        <v>144.6</v>
      </c>
      <c r="D33" s="214">
        <v>63.9</v>
      </c>
      <c r="E33" s="216">
        <v>50.8</v>
      </c>
      <c r="F33" s="214">
        <v>1819</v>
      </c>
      <c r="G33">
        <v>92</v>
      </c>
      <c r="H33">
        <v>2.91</v>
      </c>
      <c r="I33">
        <v>3.41</v>
      </c>
      <c r="J33" s="214">
        <v>9.1999999999999993</v>
      </c>
      <c r="K33" s="214">
        <v>76</v>
      </c>
      <c r="L33">
        <v>6000</v>
      </c>
      <c r="M33">
        <v>31</v>
      </c>
      <c r="N33">
        <v>38</v>
      </c>
      <c r="O33" t="s">
        <v>0</v>
      </c>
      <c r="P33">
        <f t="shared" si="0"/>
        <v>0</v>
      </c>
      <c r="Q33" t="s">
        <v>1</v>
      </c>
      <c r="R33">
        <f t="shared" si="1"/>
        <v>0</v>
      </c>
      <c r="S33" t="s">
        <v>2</v>
      </c>
      <c r="T33">
        <f t="shared" si="2"/>
        <v>0</v>
      </c>
      <c r="U33" t="s">
        <v>6</v>
      </c>
      <c r="V33">
        <f t="shared" si="3"/>
        <v>0</v>
      </c>
      <c r="W33">
        <f t="shared" si="4"/>
        <v>1</v>
      </c>
      <c r="X33" t="s">
        <v>4</v>
      </c>
      <c r="Y33">
        <f t="shared" si="5"/>
        <v>0</v>
      </c>
      <c r="Z33">
        <v>6855</v>
      </c>
    </row>
    <row r="34" spans="1:26">
      <c r="A34">
        <v>1</v>
      </c>
      <c r="B34" s="214">
        <v>93.7</v>
      </c>
      <c r="C34" s="214">
        <v>150</v>
      </c>
      <c r="D34" s="214">
        <v>64</v>
      </c>
      <c r="E34" s="216">
        <v>52.6</v>
      </c>
      <c r="F34" s="214">
        <v>1837</v>
      </c>
      <c r="G34">
        <v>79</v>
      </c>
      <c r="H34">
        <v>2.91</v>
      </c>
      <c r="I34">
        <v>3.07</v>
      </c>
      <c r="J34" s="214">
        <v>10.1</v>
      </c>
      <c r="K34" s="214">
        <v>60</v>
      </c>
      <c r="L34">
        <v>5500</v>
      </c>
      <c r="M34">
        <v>38</v>
      </c>
      <c r="N34">
        <v>42</v>
      </c>
      <c r="O34" t="s">
        <v>0</v>
      </c>
      <c r="P34">
        <f t="shared" si="0"/>
        <v>0</v>
      </c>
      <c r="Q34" t="s">
        <v>1</v>
      </c>
      <c r="R34">
        <f t="shared" si="1"/>
        <v>0</v>
      </c>
      <c r="S34" t="s">
        <v>2</v>
      </c>
      <c r="T34">
        <f t="shared" si="2"/>
        <v>0</v>
      </c>
      <c r="U34" t="s">
        <v>6</v>
      </c>
      <c r="V34">
        <f t="shared" si="3"/>
        <v>0</v>
      </c>
      <c r="W34">
        <f t="shared" si="4"/>
        <v>1</v>
      </c>
      <c r="X34" t="s">
        <v>4</v>
      </c>
      <c r="Y34">
        <f t="shared" si="5"/>
        <v>0</v>
      </c>
      <c r="Z34">
        <v>5399</v>
      </c>
    </row>
    <row r="35" spans="1:26">
      <c r="A35">
        <v>1</v>
      </c>
      <c r="B35" s="214">
        <v>93.7</v>
      </c>
      <c r="C35" s="214">
        <v>150</v>
      </c>
      <c r="D35" s="214">
        <v>64</v>
      </c>
      <c r="E35" s="216">
        <v>52.6</v>
      </c>
      <c r="F35" s="214">
        <v>1940</v>
      </c>
      <c r="G35">
        <v>92</v>
      </c>
      <c r="H35">
        <v>2.91</v>
      </c>
      <c r="I35">
        <v>3.41</v>
      </c>
      <c r="J35" s="214">
        <v>9.1999999999999993</v>
      </c>
      <c r="K35" s="214">
        <v>76</v>
      </c>
      <c r="L35">
        <v>6000</v>
      </c>
      <c r="M35">
        <v>30</v>
      </c>
      <c r="N35">
        <v>34</v>
      </c>
      <c r="O35" t="s">
        <v>0</v>
      </c>
      <c r="P35">
        <f t="shared" si="0"/>
        <v>0</v>
      </c>
      <c r="Q35" t="s">
        <v>1</v>
      </c>
      <c r="R35">
        <f t="shared" si="1"/>
        <v>0</v>
      </c>
      <c r="S35" t="s">
        <v>2</v>
      </c>
      <c r="T35">
        <f t="shared" si="2"/>
        <v>0</v>
      </c>
      <c r="U35" t="s">
        <v>6</v>
      </c>
      <c r="V35">
        <f t="shared" si="3"/>
        <v>0</v>
      </c>
      <c r="W35">
        <f t="shared" si="4"/>
        <v>1</v>
      </c>
      <c r="X35" t="s">
        <v>4</v>
      </c>
      <c r="Y35">
        <f t="shared" si="5"/>
        <v>0</v>
      </c>
      <c r="Z35">
        <v>6529</v>
      </c>
    </row>
    <row r="36" spans="1:26">
      <c r="A36">
        <v>1</v>
      </c>
      <c r="B36" s="214">
        <v>93.7</v>
      </c>
      <c r="C36" s="214">
        <v>150</v>
      </c>
      <c r="D36" s="214">
        <v>64</v>
      </c>
      <c r="E36" s="216">
        <v>52.6</v>
      </c>
      <c r="F36" s="214">
        <v>1956</v>
      </c>
      <c r="G36">
        <v>92</v>
      </c>
      <c r="H36">
        <v>2.91</v>
      </c>
      <c r="I36">
        <v>3.41</v>
      </c>
      <c r="J36" s="214">
        <v>9.1999999999999993</v>
      </c>
      <c r="K36" s="214">
        <v>76</v>
      </c>
      <c r="L36">
        <v>6000</v>
      </c>
      <c r="M36">
        <v>30</v>
      </c>
      <c r="N36">
        <v>34</v>
      </c>
      <c r="O36" t="s">
        <v>0</v>
      </c>
      <c r="P36">
        <f t="shared" si="0"/>
        <v>0</v>
      </c>
      <c r="Q36" t="s">
        <v>1</v>
      </c>
      <c r="R36">
        <f t="shared" si="1"/>
        <v>0</v>
      </c>
      <c r="S36" t="s">
        <v>2</v>
      </c>
      <c r="T36">
        <f t="shared" si="2"/>
        <v>0</v>
      </c>
      <c r="U36" t="s">
        <v>6</v>
      </c>
      <c r="V36">
        <f t="shared" si="3"/>
        <v>0</v>
      </c>
      <c r="W36">
        <f t="shared" si="4"/>
        <v>1</v>
      </c>
      <c r="X36" t="s">
        <v>4</v>
      </c>
      <c r="Y36">
        <f t="shared" si="5"/>
        <v>0</v>
      </c>
      <c r="Z36">
        <v>7129</v>
      </c>
    </row>
    <row r="37" spans="1:26">
      <c r="A37">
        <v>0</v>
      </c>
      <c r="B37" s="214">
        <v>96.5</v>
      </c>
      <c r="C37" s="214">
        <v>163.4</v>
      </c>
      <c r="D37" s="214">
        <v>64</v>
      </c>
      <c r="E37" s="216">
        <v>54.5</v>
      </c>
      <c r="F37" s="214">
        <v>2010</v>
      </c>
      <c r="G37">
        <v>92</v>
      </c>
      <c r="H37">
        <v>2.91</v>
      </c>
      <c r="I37">
        <v>3.41</v>
      </c>
      <c r="J37" s="214">
        <v>9.1999999999999993</v>
      </c>
      <c r="K37" s="214">
        <v>76</v>
      </c>
      <c r="L37">
        <v>6000</v>
      </c>
      <c r="M37">
        <v>30</v>
      </c>
      <c r="N37">
        <v>34</v>
      </c>
      <c r="O37" t="s">
        <v>0</v>
      </c>
      <c r="P37">
        <f t="shared" si="0"/>
        <v>0</v>
      </c>
      <c r="Q37" t="s">
        <v>1</v>
      </c>
      <c r="R37">
        <f t="shared" si="1"/>
        <v>0</v>
      </c>
      <c r="S37" t="s">
        <v>5</v>
      </c>
      <c r="T37">
        <f t="shared" si="2"/>
        <v>1</v>
      </c>
      <c r="U37" t="s">
        <v>6</v>
      </c>
      <c r="V37">
        <f t="shared" si="3"/>
        <v>0</v>
      </c>
      <c r="W37">
        <f t="shared" si="4"/>
        <v>1</v>
      </c>
      <c r="X37" t="s">
        <v>4</v>
      </c>
      <c r="Y37">
        <f t="shared" si="5"/>
        <v>0</v>
      </c>
      <c r="Z37">
        <v>7295</v>
      </c>
    </row>
    <row r="38" spans="1:26">
      <c r="A38">
        <v>0</v>
      </c>
      <c r="B38" s="214">
        <v>96.5</v>
      </c>
      <c r="C38" s="214">
        <v>157.1</v>
      </c>
      <c r="D38" s="214">
        <v>63.9</v>
      </c>
      <c r="E38" s="216">
        <v>58.3</v>
      </c>
      <c r="F38" s="214">
        <v>2024</v>
      </c>
      <c r="G38">
        <v>92</v>
      </c>
      <c r="H38">
        <v>2.92</v>
      </c>
      <c r="I38">
        <v>3.41</v>
      </c>
      <c r="J38" s="214">
        <v>9.1999999999999993</v>
      </c>
      <c r="K38" s="214">
        <v>76</v>
      </c>
      <c r="L38">
        <v>6000</v>
      </c>
      <c r="M38">
        <v>30</v>
      </c>
      <c r="N38">
        <v>34</v>
      </c>
      <c r="O38" t="s">
        <v>0</v>
      </c>
      <c r="P38">
        <f t="shared" si="0"/>
        <v>0</v>
      </c>
      <c r="Q38" t="s">
        <v>1</v>
      </c>
      <c r="R38">
        <f t="shared" si="1"/>
        <v>0</v>
      </c>
      <c r="S38" t="s">
        <v>5</v>
      </c>
      <c r="T38">
        <f t="shared" si="2"/>
        <v>1</v>
      </c>
      <c r="U38" t="s">
        <v>6</v>
      </c>
      <c r="V38">
        <f t="shared" si="3"/>
        <v>0</v>
      </c>
      <c r="W38">
        <f t="shared" si="4"/>
        <v>1</v>
      </c>
      <c r="X38" t="s">
        <v>4</v>
      </c>
      <c r="Y38">
        <f t="shared" si="5"/>
        <v>0</v>
      </c>
      <c r="Z38">
        <v>7295</v>
      </c>
    </row>
    <row r="39" spans="1:26">
      <c r="A39">
        <v>0</v>
      </c>
      <c r="B39" s="214">
        <v>96.5</v>
      </c>
      <c r="C39" s="214">
        <v>167.5</v>
      </c>
      <c r="D39" s="214">
        <v>65.2</v>
      </c>
      <c r="E39" s="216">
        <v>53.3</v>
      </c>
      <c r="F39" s="214">
        <v>2236</v>
      </c>
      <c r="G39">
        <v>110</v>
      </c>
      <c r="H39">
        <v>3.15</v>
      </c>
      <c r="I39">
        <v>3.58</v>
      </c>
      <c r="J39" s="214">
        <v>9</v>
      </c>
      <c r="K39" s="214">
        <v>86</v>
      </c>
      <c r="L39">
        <v>5800</v>
      </c>
      <c r="M39">
        <v>27</v>
      </c>
      <c r="N39">
        <v>33</v>
      </c>
      <c r="O39" t="s">
        <v>0</v>
      </c>
      <c r="P39">
        <f t="shared" si="0"/>
        <v>0</v>
      </c>
      <c r="Q39" t="s">
        <v>1</v>
      </c>
      <c r="R39">
        <f t="shared" si="1"/>
        <v>0</v>
      </c>
      <c r="S39" t="s">
        <v>2</v>
      </c>
      <c r="T39">
        <f t="shared" si="2"/>
        <v>0</v>
      </c>
      <c r="U39" t="s">
        <v>6</v>
      </c>
      <c r="V39">
        <f t="shared" si="3"/>
        <v>0</v>
      </c>
      <c r="W39">
        <f t="shared" si="4"/>
        <v>1</v>
      </c>
      <c r="X39" t="s">
        <v>4</v>
      </c>
      <c r="Y39">
        <f t="shared" si="5"/>
        <v>0</v>
      </c>
      <c r="Z39">
        <v>7895</v>
      </c>
    </row>
    <row r="40" spans="1:26">
      <c r="A40">
        <v>0</v>
      </c>
      <c r="B40" s="214">
        <v>96.5</v>
      </c>
      <c r="C40" s="214">
        <v>167.5</v>
      </c>
      <c r="D40" s="214">
        <v>65.2</v>
      </c>
      <c r="E40" s="216">
        <v>53.3</v>
      </c>
      <c r="F40" s="214">
        <v>2289</v>
      </c>
      <c r="G40">
        <v>110</v>
      </c>
      <c r="H40">
        <v>3.15</v>
      </c>
      <c r="I40">
        <v>3.58</v>
      </c>
      <c r="J40" s="214">
        <v>9</v>
      </c>
      <c r="K40" s="214">
        <v>86</v>
      </c>
      <c r="L40">
        <v>5800</v>
      </c>
      <c r="M40">
        <v>27</v>
      </c>
      <c r="N40">
        <v>33</v>
      </c>
      <c r="O40" t="s">
        <v>0</v>
      </c>
      <c r="P40">
        <f t="shared" si="0"/>
        <v>0</v>
      </c>
      <c r="Q40" t="s">
        <v>1</v>
      </c>
      <c r="R40">
        <f t="shared" si="1"/>
        <v>0</v>
      </c>
      <c r="S40" t="s">
        <v>2</v>
      </c>
      <c r="T40">
        <f t="shared" si="2"/>
        <v>0</v>
      </c>
      <c r="U40" t="s">
        <v>6</v>
      </c>
      <c r="V40">
        <f t="shared" si="3"/>
        <v>0</v>
      </c>
      <c r="W40">
        <f t="shared" si="4"/>
        <v>1</v>
      </c>
      <c r="X40" t="s">
        <v>4</v>
      </c>
      <c r="Y40">
        <f t="shared" si="5"/>
        <v>0</v>
      </c>
      <c r="Z40">
        <v>9095</v>
      </c>
    </row>
    <row r="41" spans="1:26">
      <c r="A41">
        <v>0</v>
      </c>
      <c r="B41" s="214">
        <v>96.5</v>
      </c>
      <c r="C41" s="214">
        <v>175.4</v>
      </c>
      <c r="D41" s="214">
        <v>65.2</v>
      </c>
      <c r="E41" s="216">
        <v>54.1</v>
      </c>
      <c r="F41" s="214">
        <v>2304</v>
      </c>
      <c r="G41">
        <v>110</v>
      </c>
      <c r="H41">
        <v>3.15</v>
      </c>
      <c r="I41">
        <v>3.58</v>
      </c>
      <c r="J41" s="214">
        <v>9</v>
      </c>
      <c r="K41" s="214">
        <v>86</v>
      </c>
      <c r="L41">
        <v>5800</v>
      </c>
      <c r="M41">
        <v>27</v>
      </c>
      <c r="N41">
        <v>33</v>
      </c>
      <c r="O41" t="s">
        <v>0</v>
      </c>
      <c r="P41">
        <f t="shared" si="0"/>
        <v>0</v>
      </c>
      <c r="Q41" t="s">
        <v>1</v>
      </c>
      <c r="R41">
        <f t="shared" si="1"/>
        <v>0</v>
      </c>
      <c r="S41" t="s">
        <v>5</v>
      </c>
      <c r="T41">
        <f t="shared" si="2"/>
        <v>1</v>
      </c>
      <c r="U41" t="s">
        <v>6</v>
      </c>
      <c r="V41">
        <f t="shared" si="3"/>
        <v>0</v>
      </c>
      <c r="W41">
        <f t="shared" si="4"/>
        <v>1</v>
      </c>
      <c r="X41" t="s">
        <v>4</v>
      </c>
      <c r="Y41">
        <f t="shared" si="5"/>
        <v>0</v>
      </c>
      <c r="Z41">
        <v>8845</v>
      </c>
    </row>
    <row r="42" spans="1:26">
      <c r="A42">
        <v>0</v>
      </c>
      <c r="B42" s="214">
        <v>96.5</v>
      </c>
      <c r="C42" s="214">
        <v>175.4</v>
      </c>
      <c r="D42" s="214">
        <v>62.5</v>
      </c>
      <c r="E42" s="216">
        <v>54.1</v>
      </c>
      <c r="F42" s="214">
        <v>2372</v>
      </c>
      <c r="G42">
        <v>110</v>
      </c>
      <c r="H42">
        <v>3.15</v>
      </c>
      <c r="I42">
        <v>3.58</v>
      </c>
      <c r="J42" s="214">
        <v>9</v>
      </c>
      <c r="K42" s="214">
        <v>86</v>
      </c>
      <c r="L42">
        <v>5800</v>
      </c>
      <c r="M42">
        <v>27</v>
      </c>
      <c r="N42">
        <v>33</v>
      </c>
      <c r="O42" t="s">
        <v>0</v>
      </c>
      <c r="P42">
        <f t="shared" si="0"/>
        <v>0</v>
      </c>
      <c r="Q42" t="s">
        <v>1</v>
      </c>
      <c r="R42">
        <f t="shared" si="1"/>
        <v>0</v>
      </c>
      <c r="S42" t="s">
        <v>5</v>
      </c>
      <c r="T42">
        <f t="shared" si="2"/>
        <v>1</v>
      </c>
      <c r="U42" t="s">
        <v>6</v>
      </c>
      <c r="V42">
        <f t="shared" si="3"/>
        <v>0</v>
      </c>
      <c r="W42">
        <f t="shared" si="4"/>
        <v>1</v>
      </c>
      <c r="X42" t="s">
        <v>4</v>
      </c>
      <c r="Y42">
        <f t="shared" si="5"/>
        <v>0</v>
      </c>
      <c r="Z42">
        <v>10295</v>
      </c>
    </row>
    <row r="43" spans="1:26">
      <c r="A43">
        <v>0</v>
      </c>
      <c r="B43" s="214">
        <v>96.5</v>
      </c>
      <c r="C43" s="214">
        <v>175.4</v>
      </c>
      <c r="D43" s="214">
        <v>65.2</v>
      </c>
      <c r="E43" s="216">
        <v>54.1</v>
      </c>
      <c r="F43" s="214">
        <v>2465</v>
      </c>
      <c r="G43">
        <v>110</v>
      </c>
      <c r="H43">
        <v>3.15</v>
      </c>
      <c r="I43">
        <v>3.58</v>
      </c>
      <c r="J43" s="214">
        <v>9</v>
      </c>
      <c r="K43" s="214">
        <v>101</v>
      </c>
      <c r="L43">
        <v>5800</v>
      </c>
      <c r="M43">
        <v>24</v>
      </c>
      <c r="N43">
        <v>28</v>
      </c>
      <c r="O43" t="s">
        <v>0</v>
      </c>
      <c r="P43">
        <f t="shared" si="0"/>
        <v>0</v>
      </c>
      <c r="Q43" t="s">
        <v>1</v>
      </c>
      <c r="R43">
        <f t="shared" si="1"/>
        <v>0</v>
      </c>
      <c r="S43" t="s">
        <v>5</v>
      </c>
      <c r="T43">
        <f t="shared" si="2"/>
        <v>1</v>
      </c>
      <c r="U43" t="s">
        <v>6</v>
      </c>
      <c r="V43">
        <f t="shared" si="3"/>
        <v>0</v>
      </c>
      <c r="W43">
        <f t="shared" si="4"/>
        <v>1</v>
      </c>
      <c r="X43" t="s">
        <v>4</v>
      </c>
      <c r="Y43">
        <f t="shared" si="5"/>
        <v>0</v>
      </c>
      <c r="Z43">
        <v>12945</v>
      </c>
    </row>
    <row r="44" spans="1:26">
      <c r="A44">
        <v>1</v>
      </c>
      <c r="B44" s="214">
        <v>96.5</v>
      </c>
      <c r="C44" s="214">
        <v>169.1</v>
      </c>
      <c r="D44" s="214">
        <v>66</v>
      </c>
      <c r="E44" s="216">
        <v>51</v>
      </c>
      <c r="F44" s="214">
        <v>2293</v>
      </c>
      <c r="G44">
        <v>110</v>
      </c>
      <c r="H44">
        <v>3.15</v>
      </c>
      <c r="I44">
        <v>3.58</v>
      </c>
      <c r="J44" s="214">
        <v>9.1</v>
      </c>
      <c r="K44" s="214">
        <v>100</v>
      </c>
      <c r="L44">
        <v>5500</v>
      </c>
      <c r="M44">
        <v>25</v>
      </c>
      <c r="N44">
        <v>31</v>
      </c>
      <c r="O44" t="s">
        <v>0</v>
      </c>
      <c r="P44">
        <f t="shared" si="0"/>
        <v>0</v>
      </c>
      <c r="Q44" t="s">
        <v>1</v>
      </c>
      <c r="R44">
        <f t="shared" si="1"/>
        <v>0</v>
      </c>
      <c r="S44" t="s">
        <v>2</v>
      </c>
      <c r="T44">
        <f t="shared" si="2"/>
        <v>0</v>
      </c>
      <c r="U44" t="s">
        <v>6</v>
      </c>
      <c r="V44">
        <f t="shared" si="3"/>
        <v>0</v>
      </c>
      <c r="W44">
        <f t="shared" si="4"/>
        <v>1</v>
      </c>
      <c r="X44" t="s">
        <v>4</v>
      </c>
      <c r="Y44">
        <f t="shared" si="5"/>
        <v>0</v>
      </c>
      <c r="Z44">
        <v>10345</v>
      </c>
    </row>
    <row r="45" spans="1:26">
      <c r="A45">
        <v>0</v>
      </c>
      <c r="B45" s="214">
        <v>94.3</v>
      </c>
      <c r="C45" s="214">
        <v>170.7</v>
      </c>
      <c r="D45" s="214">
        <v>61.8</v>
      </c>
      <c r="E45" s="216">
        <v>53.5</v>
      </c>
      <c r="F45" s="214">
        <v>2337</v>
      </c>
      <c r="G45">
        <v>111</v>
      </c>
      <c r="H45">
        <v>3.31</v>
      </c>
      <c r="I45">
        <v>3.23</v>
      </c>
      <c r="J45" s="214">
        <v>8.5</v>
      </c>
      <c r="K45" s="214">
        <v>78</v>
      </c>
      <c r="L45">
        <v>4800</v>
      </c>
      <c r="M45">
        <v>24</v>
      </c>
      <c r="N45">
        <v>29</v>
      </c>
      <c r="O45" t="s">
        <v>0</v>
      </c>
      <c r="P45">
        <f t="shared" si="0"/>
        <v>0</v>
      </c>
      <c r="Q45" t="s">
        <v>1</v>
      </c>
      <c r="R45">
        <f t="shared" si="1"/>
        <v>0</v>
      </c>
      <c r="S45" t="s">
        <v>5</v>
      </c>
      <c r="T45">
        <f t="shared" si="2"/>
        <v>1</v>
      </c>
      <c r="U45" t="s">
        <v>3</v>
      </c>
      <c r="V45">
        <f t="shared" si="3"/>
        <v>0</v>
      </c>
      <c r="W45">
        <f t="shared" si="4"/>
        <v>0</v>
      </c>
      <c r="X45" t="s">
        <v>4</v>
      </c>
      <c r="Y45">
        <f t="shared" si="5"/>
        <v>0</v>
      </c>
      <c r="Z45">
        <v>6785</v>
      </c>
    </row>
    <row r="46" spans="1:26">
      <c r="A46">
        <v>1</v>
      </c>
      <c r="B46" s="214">
        <v>94.5</v>
      </c>
      <c r="C46" s="214">
        <v>155.9</v>
      </c>
      <c r="D46" s="214">
        <v>63.6</v>
      </c>
      <c r="E46" s="216">
        <v>52</v>
      </c>
      <c r="F46" s="214">
        <v>1874</v>
      </c>
      <c r="G46">
        <v>90</v>
      </c>
      <c r="H46">
        <v>3.03</v>
      </c>
      <c r="I46">
        <v>3.11</v>
      </c>
      <c r="J46" s="214">
        <v>9.6</v>
      </c>
      <c r="K46" s="214">
        <v>70</v>
      </c>
      <c r="L46">
        <v>5400</v>
      </c>
      <c r="M46">
        <v>38</v>
      </c>
      <c r="N46">
        <v>43</v>
      </c>
      <c r="O46" t="s">
        <v>0</v>
      </c>
      <c r="P46">
        <f t="shared" si="0"/>
        <v>0</v>
      </c>
      <c r="Q46" t="s">
        <v>1</v>
      </c>
      <c r="R46">
        <f t="shared" si="1"/>
        <v>0</v>
      </c>
      <c r="S46" t="s">
        <v>2</v>
      </c>
      <c r="T46">
        <f t="shared" si="2"/>
        <v>0</v>
      </c>
      <c r="U46" t="s">
        <v>6</v>
      </c>
      <c r="V46">
        <f t="shared" si="3"/>
        <v>0</v>
      </c>
      <c r="W46">
        <f t="shared" si="4"/>
        <v>1</v>
      </c>
      <c r="X46" t="s">
        <v>4</v>
      </c>
      <c r="Y46">
        <f t="shared" si="5"/>
        <v>0</v>
      </c>
      <c r="Z46">
        <v>8916.5</v>
      </c>
    </row>
    <row r="47" spans="1:26">
      <c r="A47">
        <v>0</v>
      </c>
      <c r="B47" s="214">
        <v>94.5</v>
      </c>
      <c r="C47" s="214">
        <v>155.9</v>
      </c>
      <c r="D47" s="214">
        <v>63.6</v>
      </c>
      <c r="E47" s="216">
        <v>52</v>
      </c>
      <c r="F47" s="214">
        <v>1909</v>
      </c>
      <c r="G47">
        <v>90</v>
      </c>
      <c r="H47">
        <v>3.03</v>
      </c>
      <c r="I47">
        <v>3.11</v>
      </c>
      <c r="J47" s="214">
        <v>9.6</v>
      </c>
      <c r="K47" s="214">
        <v>70</v>
      </c>
      <c r="L47">
        <v>5400</v>
      </c>
      <c r="M47">
        <v>38</v>
      </c>
      <c r="N47">
        <v>43</v>
      </c>
      <c r="O47" t="s">
        <v>0</v>
      </c>
      <c r="P47">
        <f t="shared" si="0"/>
        <v>0</v>
      </c>
      <c r="Q47" t="s">
        <v>1</v>
      </c>
      <c r="R47">
        <f t="shared" si="1"/>
        <v>0</v>
      </c>
      <c r="S47" t="s">
        <v>5</v>
      </c>
      <c r="T47">
        <f t="shared" si="2"/>
        <v>1</v>
      </c>
      <c r="U47" t="s">
        <v>6</v>
      </c>
      <c r="V47">
        <f t="shared" si="3"/>
        <v>0</v>
      </c>
      <c r="W47">
        <f t="shared" si="4"/>
        <v>1</v>
      </c>
      <c r="X47" t="s">
        <v>4</v>
      </c>
      <c r="Y47">
        <f t="shared" si="5"/>
        <v>0</v>
      </c>
      <c r="Z47">
        <v>8916.5</v>
      </c>
    </row>
    <row r="48" spans="1:26">
      <c r="A48">
        <v>2</v>
      </c>
      <c r="B48" s="214">
        <v>96</v>
      </c>
      <c r="C48" s="214">
        <v>172.6</v>
      </c>
      <c r="D48" s="214">
        <v>65.2</v>
      </c>
      <c r="E48" s="216">
        <v>51.4</v>
      </c>
      <c r="F48" s="214">
        <v>2734</v>
      </c>
      <c r="G48">
        <v>119</v>
      </c>
      <c r="H48">
        <v>3.43</v>
      </c>
      <c r="I48">
        <v>3.23</v>
      </c>
      <c r="J48" s="214">
        <v>9.1999999999999993</v>
      </c>
      <c r="K48" s="214">
        <v>90</v>
      </c>
      <c r="L48">
        <v>5000</v>
      </c>
      <c r="M48">
        <v>24</v>
      </c>
      <c r="N48">
        <v>29</v>
      </c>
      <c r="O48" t="s">
        <v>0</v>
      </c>
      <c r="P48">
        <f t="shared" si="0"/>
        <v>0</v>
      </c>
      <c r="Q48" t="s">
        <v>1</v>
      </c>
      <c r="R48">
        <f t="shared" si="1"/>
        <v>0</v>
      </c>
      <c r="S48" t="s">
        <v>2</v>
      </c>
      <c r="T48">
        <f t="shared" si="2"/>
        <v>0</v>
      </c>
      <c r="U48" t="s">
        <v>3</v>
      </c>
      <c r="V48">
        <f t="shared" si="3"/>
        <v>0</v>
      </c>
      <c r="W48">
        <f t="shared" si="4"/>
        <v>0</v>
      </c>
      <c r="X48" t="s">
        <v>4</v>
      </c>
      <c r="Y48">
        <f t="shared" si="5"/>
        <v>0</v>
      </c>
      <c r="Z48">
        <v>11048</v>
      </c>
    </row>
    <row r="49" spans="1:26">
      <c r="A49">
        <v>0</v>
      </c>
      <c r="B49" s="214">
        <v>113</v>
      </c>
      <c r="C49" s="214">
        <v>199.6</v>
      </c>
      <c r="D49" s="214">
        <v>69.599999999999994</v>
      </c>
      <c r="E49" s="216">
        <v>52.8</v>
      </c>
      <c r="F49" s="214">
        <v>4066</v>
      </c>
      <c r="G49">
        <v>258</v>
      </c>
      <c r="H49">
        <v>3.63</v>
      </c>
      <c r="I49">
        <v>4.17</v>
      </c>
      <c r="J49" s="214">
        <v>8.1</v>
      </c>
      <c r="K49" s="214">
        <v>176</v>
      </c>
      <c r="L49">
        <v>4750</v>
      </c>
      <c r="M49">
        <v>15</v>
      </c>
      <c r="N49">
        <v>19</v>
      </c>
      <c r="O49" t="s">
        <v>0</v>
      </c>
      <c r="P49">
        <f t="shared" si="0"/>
        <v>0</v>
      </c>
      <c r="Q49" t="s">
        <v>1</v>
      </c>
      <c r="R49">
        <f t="shared" si="1"/>
        <v>0</v>
      </c>
      <c r="S49" t="s">
        <v>5</v>
      </c>
      <c r="T49">
        <f t="shared" si="2"/>
        <v>1</v>
      </c>
      <c r="U49" t="s">
        <v>3</v>
      </c>
      <c r="V49">
        <f t="shared" si="3"/>
        <v>0</v>
      </c>
      <c r="W49">
        <f t="shared" si="4"/>
        <v>0</v>
      </c>
      <c r="X49" t="s">
        <v>4</v>
      </c>
      <c r="Y49">
        <f t="shared" si="5"/>
        <v>0</v>
      </c>
      <c r="Z49">
        <v>32250</v>
      </c>
    </row>
    <row r="50" spans="1:26">
      <c r="A50">
        <v>0</v>
      </c>
      <c r="B50" s="214">
        <v>113</v>
      </c>
      <c r="C50" s="214">
        <v>199.6</v>
      </c>
      <c r="D50" s="214">
        <v>69.599999999999994</v>
      </c>
      <c r="E50" s="216">
        <v>52.8</v>
      </c>
      <c r="F50" s="214">
        <v>4066</v>
      </c>
      <c r="G50">
        <v>258</v>
      </c>
      <c r="H50">
        <v>3.63</v>
      </c>
      <c r="I50">
        <v>4.17</v>
      </c>
      <c r="J50" s="214">
        <v>8.1</v>
      </c>
      <c r="K50" s="214">
        <v>176</v>
      </c>
      <c r="L50">
        <v>4750</v>
      </c>
      <c r="M50">
        <v>15</v>
      </c>
      <c r="N50">
        <v>19</v>
      </c>
      <c r="O50" t="s">
        <v>0</v>
      </c>
      <c r="P50">
        <f t="shared" si="0"/>
        <v>0</v>
      </c>
      <c r="Q50" t="s">
        <v>1</v>
      </c>
      <c r="R50">
        <f t="shared" si="1"/>
        <v>0</v>
      </c>
      <c r="S50" t="s">
        <v>5</v>
      </c>
      <c r="T50">
        <f t="shared" si="2"/>
        <v>1</v>
      </c>
      <c r="U50" t="s">
        <v>3</v>
      </c>
      <c r="V50">
        <f t="shared" si="3"/>
        <v>0</v>
      </c>
      <c r="W50">
        <f t="shared" si="4"/>
        <v>0</v>
      </c>
      <c r="X50" t="s">
        <v>4</v>
      </c>
      <c r="Y50">
        <f t="shared" si="5"/>
        <v>0</v>
      </c>
      <c r="Z50">
        <v>35550</v>
      </c>
    </row>
    <row r="51" spans="1:26">
      <c r="A51">
        <v>0</v>
      </c>
      <c r="B51" s="214">
        <v>102</v>
      </c>
      <c r="C51" s="214">
        <v>191.7</v>
      </c>
      <c r="D51" s="214">
        <v>70.599999999999994</v>
      </c>
      <c r="E51" s="216">
        <v>47.8</v>
      </c>
      <c r="F51" s="214">
        <v>3950</v>
      </c>
      <c r="G51">
        <v>326</v>
      </c>
      <c r="H51">
        <v>3.54</v>
      </c>
      <c r="I51">
        <v>2.76</v>
      </c>
      <c r="J51" s="214">
        <v>11.5</v>
      </c>
      <c r="K51" s="214">
        <v>262</v>
      </c>
      <c r="L51">
        <v>5000</v>
      </c>
      <c r="M51">
        <v>13</v>
      </c>
      <c r="N51">
        <v>17</v>
      </c>
      <c r="O51" t="s">
        <v>0</v>
      </c>
      <c r="P51">
        <f t="shared" si="0"/>
        <v>0</v>
      </c>
      <c r="Q51" t="s">
        <v>1</v>
      </c>
      <c r="R51">
        <f t="shared" si="1"/>
        <v>0</v>
      </c>
      <c r="S51" t="s">
        <v>2</v>
      </c>
      <c r="T51">
        <f t="shared" si="2"/>
        <v>0</v>
      </c>
      <c r="U51" t="s">
        <v>3</v>
      </c>
      <c r="V51">
        <f t="shared" si="3"/>
        <v>0</v>
      </c>
      <c r="W51">
        <f t="shared" si="4"/>
        <v>0</v>
      </c>
      <c r="X51" t="s">
        <v>4</v>
      </c>
      <c r="Y51">
        <f t="shared" si="5"/>
        <v>0</v>
      </c>
      <c r="Z51">
        <v>36000</v>
      </c>
    </row>
    <row r="52" spans="1:26">
      <c r="A52">
        <v>1</v>
      </c>
      <c r="B52" s="214">
        <v>93.1</v>
      </c>
      <c r="C52" s="214">
        <v>159.1</v>
      </c>
      <c r="D52" s="214">
        <v>64.2</v>
      </c>
      <c r="E52" s="216">
        <v>54.1</v>
      </c>
      <c r="F52" s="214">
        <v>1890</v>
      </c>
      <c r="G52">
        <v>91</v>
      </c>
      <c r="H52">
        <v>3.03</v>
      </c>
      <c r="I52">
        <v>3.15</v>
      </c>
      <c r="J52" s="214">
        <v>9</v>
      </c>
      <c r="K52" s="214">
        <v>68</v>
      </c>
      <c r="L52">
        <v>5000</v>
      </c>
      <c r="M52">
        <v>30</v>
      </c>
      <c r="N52">
        <v>31</v>
      </c>
      <c r="O52" t="s">
        <v>0</v>
      </c>
      <c r="P52">
        <f t="shared" si="0"/>
        <v>0</v>
      </c>
      <c r="Q52" t="s">
        <v>1</v>
      </c>
      <c r="R52">
        <f t="shared" si="1"/>
        <v>0</v>
      </c>
      <c r="S52" t="s">
        <v>2</v>
      </c>
      <c r="T52">
        <f t="shared" si="2"/>
        <v>0</v>
      </c>
      <c r="U52" t="s">
        <v>6</v>
      </c>
      <c r="V52">
        <f t="shared" si="3"/>
        <v>0</v>
      </c>
      <c r="W52">
        <f t="shared" si="4"/>
        <v>1</v>
      </c>
      <c r="X52" t="s">
        <v>4</v>
      </c>
      <c r="Y52">
        <f t="shared" si="5"/>
        <v>0</v>
      </c>
      <c r="Z52">
        <v>5195</v>
      </c>
    </row>
    <row r="53" spans="1:26">
      <c r="A53">
        <v>1</v>
      </c>
      <c r="B53" s="214">
        <v>93.1</v>
      </c>
      <c r="C53" s="214">
        <v>159.1</v>
      </c>
      <c r="D53" s="214">
        <v>64.2</v>
      </c>
      <c r="E53" s="216">
        <v>54.1</v>
      </c>
      <c r="F53" s="214">
        <v>1900</v>
      </c>
      <c r="G53">
        <v>91</v>
      </c>
      <c r="H53">
        <v>3.03</v>
      </c>
      <c r="I53">
        <v>3.15</v>
      </c>
      <c r="J53" s="214">
        <v>9</v>
      </c>
      <c r="K53" s="214">
        <v>68</v>
      </c>
      <c r="L53">
        <v>5000</v>
      </c>
      <c r="M53">
        <v>31</v>
      </c>
      <c r="N53">
        <v>38</v>
      </c>
      <c r="O53" t="s">
        <v>0</v>
      </c>
      <c r="P53">
        <f t="shared" si="0"/>
        <v>0</v>
      </c>
      <c r="Q53" t="s">
        <v>1</v>
      </c>
      <c r="R53">
        <f t="shared" si="1"/>
        <v>0</v>
      </c>
      <c r="S53" t="s">
        <v>2</v>
      </c>
      <c r="T53">
        <f t="shared" si="2"/>
        <v>0</v>
      </c>
      <c r="U53" t="s">
        <v>6</v>
      </c>
      <c r="V53">
        <f t="shared" si="3"/>
        <v>0</v>
      </c>
      <c r="W53">
        <f t="shared" si="4"/>
        <v>1</v>
      </c>
      <c r="X53" t="s">
        <v>4</v>
      </c>
      <c r="Y53">
        <f t="shared" si="5"/>
        <v>0</v>
      </c>
      <c r="Z53">
        <v>6095</v>
      </c>
    </row>
    <row r="54" spans="1:26">
      <c r="A54">
        <v>1</v>
      </c>
      <c r="B54" s="214">
        <v>93.1</v>
      </c>
      <c r="C54" s="214">
        <v>159.1</v>
      </c>
      <c r="D54" s="214">
        <v>64.2</v>
      </c>
      <c r="E54" s="216">
        <v>54.1</v>
      </c>
      <c r="F54" s="214">
        <v>1905</v>
      </c>
      <c r="G54">
        <v>91</v>
      </c>
      <c r="H54">
        <v>3.03</v>
      </c>
      <c r="I54">
        <v>3.15</v>
      </c>
      <c r="J54" s="214">
        <v>9</v>
      </c>
      <c r="K54" s="214">
        <v>68</v>
      </c>
      <c r="L54">
        <v>5000</v>
      </c>
      <c r="M54">
        <v>31</v>
      </c>
      <c r="N54">
        <v>38</v>
      </c>
      <c r="O54" t="s">
        <v>0</v>
      </c>
      <c r="P54">
        <f t="shared" si="0"/>
        <v>0</v>
      </c>
      <c r="Q54" t="s">
        <v>1</v>
      </c>
      <c r="R54">
        <f t="shared" si="1"/>
        <v>0</v>
      </c>
      <c r="S54" t="s">
        <v>2</v>
      </c>
      <c r="T54">
        <f t="shared" si="2"/>
        <v>0</v>
      </c>
      <c r="U54" t="s">
        <v>6</v>
      </c>
      <c r="V54">
        <f t="shared" si="3"/>
        <v>0</v>
      </c>
      <c r="W54">
        <f t="shared" si="4"/>
        <v>1</v>
      </c>
      <c r="X54" t="s">
        <v>4</v>
      </c>
      <c r="Y54">
        <f t="shared" si="5"/>
        <v>0</v>
      </c>
      <c r="Z54">
        <v>6795</v>
      </c>
    </row>
    <row r="55" spans="1:26">
      <c r="A55">
        <v>1</v>
      </c>
      <c r="B55" s="214">
        <v>93.1</v>
      </c>
      <c r="C55" s="214">
        <v>166.8</v>
      </c>
      <c r="D55" s="214">
        <v>64.2</v>
      </c>
      <c r="E55" s="216">
        <v>54.1</v>
      </c>
      <c r="F55" s="214">
        <v>1945</v>
      </c>
      <c r="G55">
        <v>91</v>
      </c>
      <c r="H55">
        <v>3.03</v>
      </c>
      <c r="I55">
        <v>3.15</v>
      </c>
      <c r="J55" s="214">
        <v>9</v>
      </c>
      <c r="K55" s="214">
        <v>68</v>
      </c>
      <c r="L55">
        <v>5000</v>
      </c>
      <c r="M55">
        <v>31</v>
      </c>
      <c r="N55">
        <v>38</v>
      </c>
      <c r="O55" t="s">
        <v>0</v>
      </c>
      <c r="P55">
        <f t="shared" si="0"/>
        <v>0</v>
      </c>
      <c r="Q55" t="s">
        <v>1</v>
      </c>
      <c r="R55">
        <f t="shared" si="1"/>
        <v>0</v>
      </c>
      <c r="S55" t="s">
        <v>5</v>
      </c>
      <c r="T55">
        <f t="shared" si="2"/>
        <v>1</v>
      </c>
      <c r="U55" t="s">
        <v>6</v>
      </c>
      <c r="V55">
        <f t="shared" si="3"/>
        <v>0</v>
      </c>
      <c r="W55">
        <f t="shared" si="4"/>
        <v>1</v>
      </c>
      <c r="X55" t="s">
        <v>4</v>
      </c>
      <c r="Y55">
        <f t="shared" si="5"/>
        <v>0</v>
      </c>
      <c r="Z55">
        <v>6695</v>
      </c>
    </row>
    <row r="56" spans="1:26">
      <c r="A56">
        <v>1</v>
      </c>
      <c r="B56" s="214">
        <v>93.1</v>
      </c>
      <c r="C56" s="214">
        <v>166.8</v>
      </c>
      <c r="D56" s="214">
        <v>64.2</v>
      </c>
      <c r="E56" s="216">
        <v>54.1</v>
      </c>
      <c r="F56" s="214">
        <v>1950</v>
      </c>
      <c r="G56">
        <v>91</v>
      </c>
      <c r="H56">
        <v>3.08</v>
      </c>
      <c r="I56">
        <v>3.15</v>
      </c>
      <c r="J56" s="214">
        <v>9</v>
      </c>
      <c r="K56" s="214">
        <v>68</v>
      </c>
      <c r="L56">
        <v>5000</v>
      </c>
      <c r="M56">
        <v>31</v>
      </c>
      <c r="N56">
        <v>38</v>
      </c>
      <c r="O56" t="s">
        <v>0</v>
      </c>
      <c r="P56">
        <f t="shared" si="0"/>
        <v>0</v>
      </c>
      <c r="Q56" t="s">
        <v>1</v>
      </c>
      <c r="R56">
        <f t="shared" si="1"/>
        <v>0</v>
      </c>
      <c r="S56" t="s">
        <v>5</v>
      </c>
      <c r="T56">
        <f t="shared" si="2"/>
        <v>1</v>
      </c>
      <c r="U56" t="s">
        <v>6</v>
      </c>
      <c r="V56">
        <f t="shared" si="3"/>
        <v>0</v>
      </c>
      <c r="W56">
        <f t="shared" si="4"/>
        <v>1</v>
      </c>
      <c r="X56" t="s">
        <v>4</v>
      </c>
      <c r="Y56">
        <f t="shared" si="5"/>
        <v>0</v>
      </c>
      <c r="Z56">
        <v>7395</v>
      </c>
    </row>
    <row r="57" spans="1:26">
      <c r="A57">
        <v>3</v>
      </c>
      <c r="B57" s="214">
        <v>95.3</v>
      </c>
      <c r="C57" s="214">
        <v>169</v>
      </c>
      <c r="D57" s="214">
        <v>65.7</v>
      </c>
      <c r="E57" s="216">
        <v>49.6</v>
      </c>
      <c r="F57" s="214">
        <v>2380</v>
      </c>
      <c r="G57">
        <v>70</v>
      </c>
      <c r="H57">
        <v>3.33</v>
      </c>
      <c r="I57">
        <v>3.2549999999999999</v>
      </c>
      <c r="J57" s="214">
        <v>9.4</v>
      </c>
      <c r="K57" s="214">
        <v>101</v>
      </c>
      <c r="L57">
        <v>6000</v>
      </c>
      <c r="M57">
        <v>17</v>
      </c>
      <c r="N57">
        <v>23</v>
      </c>
      <c r="O57" t="s">
        <v>0</v>
      </c>
      <c r="P57">
        <f t="shared" si="0"/>
        <v>0</v>
      </c>
      <c r="Q57" t="s">
        <v>1</v>
      </c>
      <c r="R57">
        <f t="shared" si="1"/>
        <v>0</v>
      </c>
      <c r="S57" t="s">
        <v>2</v>
      </c>
      <c r="T57">
        <f t="shared" si="2"/>
        <v>0</v>
      </c>
      <c r="U57" t="s">
        <v>3</v>
      </c>
      <c r="V57">
        <f t="shared" si="3"/>
        <v>0</v>
      </c>
      <c r="W57">
        <f t="shared" si="4"/>
        <v>0</v>
      </c>
      <c r="X57" t="s">
        <v>4</v>
      </c>
      <c r="Y57">
        <f t="shared" si="5"/>
        <v>0</v>
      </c>
      <c r="Z57">
        <v>10945</v>
      </c>
    </row>
    <row r="58" spans="1:26">
      <c r="A58">
        <v>3</v>
      </c>
      <c r="B58" s="214">
        <v>95.3</v>
      </c>
      <c r="C58" s="214">
        <v>169</v>
      </c>
      <c r="D58" s="214">
        <v>65.7</v>
      </c>
      <c r="E58" s="216">
        <v>49.6</v>
      </c>
      <c r="F58" s="214">
        <v>2380</v>
      </c>
      <c r="G58">
        <v>70</v>
      </c>
      <c r="H58">
        <v>3.33</v>
      </c>
      <c r="I58">
        <v>3.2549999999999999</v>
      </c>
      <c r="J58" s="214">
        <v>9.4</v>
      </c>
      <c r="K58" s="214">
        <v>101</v>
      </c>
      <c r="L58">
        <v>6000</v>
      </c>
      <c r="M58">
        <v>17</v>
      </c>
      <c r="N58">
        <v>23</v>
      </c>
      <c r="O58" t="s">
        <v>0</v>
      </c>
      <c r="P58">
        <f t="shared" si="0"/>
        <v>0</v>
      </c>
      <c r="Q58" t="s">
        <v>1</v>
      </c>
      <c r="R58">
        <f t="shared" si="1"/>
        <v>0</v>
      </c>
      <c r="S58" t="s">
        <v>2</v>
      </c>
      <c r="T58">
        <f t="shared" si="2"/>
        <v>0</v>
      </c>
      <c r="U58" t="s">
        <v>3</v>
      </c>
      <c r="V58">
        <f t="shared" si="3"/>
        <v>0</v>
      </c>
      <c r="W58">
        <f t="shared" si="4"/>
        <v>0</v>
      </c>
      <c r="X58" t="s">
        <v>4</v>
      </c>
      <c r="Y58">
        <f t="shared" si="5"/>
        <v>0</v>
      </c>
      <c r="Z58">
        <v>11845</v>
      </c>
    </row>
    <row r="59" spans="1:26">
      <c r="A59">
        <v>3</v>
      </c>
      <c r="B59" s="214">
        <v>95.3</v>
      </c>
      <c r="C59" s="214">
        <v>169</v>
      </c>
      <c r="D59" s="214">
        <v>65.7</v>
      </c>
      <c r="E59" s="216">
        <v>49.6</v>
      </c>
      <c r="F59" s="214">
        <v>2385</v>
      </c>
      <c r="G59">
        <v>70</v>
      </c>
      <c r="H59">
        <v>3.33</v>
      </c>
      <c r="I59">
        <v>3.2549999999999999</v>
      </c>
      <c r="J59" s="214">
        <v>9.4</v>
      </c>
      <c r="K59" s="214">
        <v>101</v>
      </c>
      <c r="L59">
        <v>6000</v>
      </c>
      <c r="M59">
        <v>17</v>
      </c>
      <c r="N59">
        <v>23</v>
      </c>
      <c r="O59" t="s">
        <v>0</v>
      </c>
      <c r="P59">
        <f t="shared" si="0"/>
        <v>0</v>
      </c>
      <c r="Q59" t="s">
        <v>1</v>
      </c>
      <c r="R59">
        <f t="shared" si="1"/>
        <v>0</v>
      </c>
      <c r="S59" t="s">
        <v>2</v>
      </c>
      <c r="T59">
        <f t="shared" si="2"/>
        <v>0</v>
      </c>
      <c r="U59" t="s">
        <v>3</v>
      </c>
      <c r="V59">
        <f t="shared" si="3"/>
        <v>0</v>
      </c>
      <c r="W59">
        <f t="shared" si="4"/>
        <v>0</v>
      </c>
      <c r="X59" t="s">
        <v>4</v>
      </c>
      <c r="Y59">
        <f t="shared" si="5"/>
        <v>0</v>
      </c>
      <c r="Z59">
        <v>13645</v>
      </c>
    </row>
    <row r="60" spans="1:26">
      <c r="A60">
        <v>3</v>
      </c>
      <c r="B60" s="214">
        <v>95.3</v>
      </c>
      <c r="C60" s="214">
        <v>169</v>
      </c>
      <c r="D60" s="214">
        <v>65.7</v>
      </c>
      <c r="E60" s="216">
        <v>49.6</v>
      </c>
      <c r="F60" s="214">
        <v>2500</v>
      </c>
      <c r="G60">
        <v>80</v>
      </c>
      <c r="H60">
        <v>3.33</v>
      </c>
      <c r="I60">
        <v>3.2549999999999999</v>
      </c>
      <c r="J60" s="214">
        <v>9.4</v>
      </c>
      <c r="K60" s="214">
        <v>135</v>
      </c>
      <c r="L60">
        <v>6000</v>
      </c>
      <c r="M60">
        <v>16</v>
      </c>
      <c r="N60">
        <v>23</v>
      </c>
      <c r="O60" t="s">
        <v>0</v>
      </c>
      <c r="P60">
        <f t="shared" si="0"/>
        <v>0</v>
      </c>
      <c r="Q60" t="s">
        <v>1</v>
      </c>
      <c r="R60">
        <f t="shared" si="1"/>
        <v>0</v>
      </c>
      <c r="S60" t="s">
        <v>2</v>
      </c>
      <c r="T60">
        <f t="shared" si="2"/>
        <v>0</v>
      </c>
      <c r="U60" t="s">
        <v>3</v>
      </c>
      <c r="V60">
        <f t="shared" si="3"/>
        <v>0</v>
      </c>
      <c r="W60">
        <f t="shared" si="4"/>
        <v>0</v>
      </c>
      <c r="X60" t="s">
        <v>4</v>
      </c>
      <c r="Y60">
        <f t="shared" si="5"/>
        <v>0</v>
      </c>
      <c r="Z60">
        <v>15645</v>
      </c>
    </row>
    <row r="61" spans="1:26">
      <c r="A61">
        <v>1</v>
      </c>
      <c r="B61" s="214">
        <v>98.8</v>
      </c>
      <c r="C61" s="214">
        <v>177.8</v>
      </c>
      <c r="D61" s="214">
        <v>66.5</v>
      </c>
      <c r="E61" s="216">
        <v>53.7</v>
      </c>
      <c r="F61" s="214">
        <v>2385</v>
      </c>
      <c r="G61">
        <v>122</v>
      </c>
      <c r="H61">
        <v>3.39</v>
      </c>
      <c r="I61">
        <v>3.39</v>
      </c>
      <c r="J61" s="214">
        <v>8.6</v>
      </c>
      <c r="K61" s="214">
        <v>84</v>
      </c>
      <c r="L61">
        <v>4800</v>
      </c>
      <c r="M61">
        <v>26</v>
      </c>
      <c r="N61">
        <v>32</v>
      </c>
      <c r="O61" t="s">
        <v>0</v>
      </c>
      <c r="P61">
        <f t="shared" si="0"/>
        <v>0</v>
      </c>
      <c r="Q61" t="s">
        <v>1</v>
      </c>
      <c r="R61">
        <f t="shared" si="1"/>
        <v>0</v>
      </c>
      <c r="S61" t="s">
        <v>2</v>
      </c>
      <c r="T61">
        <f t="shared" si="2"/>
        <v>0</v>
      </c>
      <c r="U61" t="s">
        <v>6</v>
      </c>
      <c r="V61">
        <f t="shared" si="3"/>
        <v>0</v>
      </c>
      <c r="W61">
        <f t="shared" si="4"/>
        <v>1</v>
      </c>
      <c r="X61" t="s">
        <v>4</v>
      </c>
      <c r="Y61">
        <f t="shared" si="5"/>
        <v>0</v>
      </c>
      <c r="Z61">
        <v>8845</v>
      </c>
    </row>
    <row r="62" spans="1:26">
      <c r="A62">
        <v>0</v>
      </c>
      <c r="B62" s="214">
        <v>98.8</v>
      </c>
      <c r="C62" s="214">
        <v>177.8</v>
      </c>
      <c r="D62" s="214">
        <v>66.5</v>
      </c>
      <c r="E62" s="216">
        <v>55.5</v>
      </c>
      <c r="F62" s="214">
        <v>2410</v>
      </c>
      <c r="G62">
        <v>122</v>
      </c>
      <c r="H62">
        <v>3.39</v>
      </c>
      <c r="I62">
        <v>3.39</v>
      </c>
      <c r="J62" s="214">
        <v>8.6</v>
      </c>
      <c r="K62" s="214">
        <v>84</v>
      </c>
      <c r="L62">
        <v>4800</v>
      </c>
      <c r="M62">
        <v>26</v>
      </c>
      <c r="N62">
        <v>32</v>
      </c>
      <c r="O62" t="s">
        <v>0</v>
      </c>
      <c r="P62">
        <f t="shared" si="0"/>
        <v>0</v>
      </c>
      <c r="Q62" t="s">
        <v>1</v>
      </c>
      <c r="R62">
        <f t="shared" si="1"/>
        <v>0</v>
      </c>
      <c r="S62" t="s">
        <v>5</v>
      </c>
      <c r="T62">
        <f t="shared" si="2"/>
        <v>1</v>
      </c>
      <c r="U62" t="s">
        <v>6</v>
      </c>
      <c r="V62">
        <f t="shared" si="3"/>
        <v>0</v>
      </c>
      <c r="W62">
        <f t="shared" si="4"/>
        <v>1</v>
      </c>
      <c r="X62" t="s">
        <v>4</v>
      </c>
      <c r="Y62">
        <f t="shared" si="5"/>
        <v>0</v>
      </c>
      <c r="Z62">
        <v>8495</v>
      </c>
    </row>
    <row r="63" spans="1:26">
      <c r="A63">
        <v>1</v>
      </c>
      <c r="B63" s="214">
        <v>98.8</v>
      </c>
      <c r="C63" s="214">
        <v>177.8</v>
      </c>
      <c r="D63" s="214">
        <v>66.5</v>
      </c>
      <c r="E63" s="216">
        <v>53.7</v>
      </c>
      <c r="F63" s="214">
        <v>2385</v>
      </c>
      <c r="G63">
        <v>122</v>
      </c>
      <c r="H63">
        <v>3.39</v>
      </c>
      <c r="I63">
        <v>3.39</v>
      </c>
      <c r="J63" s="214">
        <v>8.6</v>
      </c>
      <c r="K63" s="214">
        <v>84</v>
      </c>
      <c r="L63">
        <v>4800</v>
      </c>
      <c r="M63">
        <v>26</v>
      </c>
      <c r="N63">
        <v>32</v>
      </c>
      <c r="O63" t="s">
        <v>0</v>
      </c>
      <c r="P63">
        <f t="shared" si="0"/>
        <v>0</v>
      </c>
      <c r="Q63" t="s">
        <v>1</v>
      </c>
      <c r="R63">
        <f t="shared" si="1"/>
        <v>0</v>
      </c>
      <c r="S63" t="s">
        <v>2</v>
      </c>
      <c r="T63">
        <f t="shared" si="2"/>
        <v>0</v>
      </c>
      <c r="U63" t="s">
        <v>6</v>
      </c>
      <c r="V63">
        <f t="shared" si="3"/>
        <v>0</v>
      </c>
      <c r="W63">
        <f t="shared" si="4"/>
        <v>1</v>
      </c>
      <c r="X63" t="s">
        <v>4</v>
      </c>
      <c r="Y63">
        <f t="shared" si="5"/>
        <v>0</v>
      </c>
      <c r="Z63">
        <v>10595</v>
      </c>
    </row>
    <row r="64" spans="1:26">
      <c r="A64">
        <v>0</v>
      </c>
      <c r="B64" s="214">
        <v>98.8</v>
      </c>
      <c r="C64" s="214">
        <v>177.8</v>
      </c>
      <c r="D64" s="214">
        <v>66.5</v>
      </c>
      <c r="E64" s="216">
        <v>55.5</v>
      </c>
      <c r="F64" s="214">
        <v>2410</v>
      </c>
      <c r="G64">
        <v>122</v>
      </c>
      <c r="H64">
        <v>3.39</v>
      </c>
      <c r="I64">
        <v>3.39</v>
      </c>
      <c r="J64" s="214">
        <v>8.6</v>
      </c>
      <c r="K64" s="214">
        <v>84</v>
      </c>
      <c r="L64">
        <v>4800</v>
      </c>
      <c r="M64">
        <v>26</v>
      </c>
      <c r="N64">
        <v>32</v>
      </c>
      <c r="O64" t="s">
        <v>0</v>
      </c>
      <c r="P64">
        <f t="shared" si="0"/>
        <v>0</v>
      </c>
      <c r="Q64" t="s">
        <v>1</v>
      </c>
      <c r="R64">
        <f t="shared" si="1"/>
        <v>0</v>
      </c>
      <c r="S64" t="s">
        <v>5</v>
      </c>
      <c r="T64">
        <f t="shared" si="2"/>
        <v>1</v>
      </c>
      <c r="U64" t="s">
        <v>6</v>
      </c>
      <c r="V64">
        <f t="shared" si="3"/>
        <v>0</v>
      </c>
      <c r="W64">
        <f t="shared" si="4"/>
        <v>1</v>
      </c>
      <c r="X64" t="s">
        <v>4</v>
      </c>
      <c r="Y64">
        <f t="shared" si="5"/>
        <v>0</v>
      </c>
      <c r="Z64">
        <v>10245</v>
      </c>
    </row>
    <row r="65" spans="1:26">
      <c r="A65">
        <v>0</v>
      </c>
      <c r="B65" s="214">
        <v>98.8</v>
      </c>
      <c r="C65" s="214">
        <v>177.8</v>
      </c>
      <c r="D65" s="214">
        <v>66.5</v>
      </c>
      <c r="E65" s="216">
        <v>55.5</v>
      </c>
      <c r="F65" s="214">
        <v>2443</v>
      </c>
      <c r="G65">
        <v>122</v>
      </c>
      <c r="H65">
        <v>3.39</v>
      </c>
      <c r="I65">
        <v>3.39</v>
      </c>
      <c r="J65" s="214">
        <v>22.7</v>
      </c>
      <c r="K65" s="214">
        <v>64</v>
      </c>
      <c r="L65">
        <v>4650</v>
      </c>
      <c r="M65">
        <v>36</v>
      </c>
      <c r="N65">
        <v>42</v>
      </c>
      <c r="O65" t="s">
        <v>9</v>
      </c>
      <c r="P65">
        <f t="shared" si="0"/>
        <v>1</v>
      </c>
      <c r="Q65" t="s">
        <v>1</v>
      </c>
      <c r="R65">
        <f t="shared" si="1"/>
        <v>0</v>
      </c>
      <c r="S65" t="s">
        <v>5</v>
      </c>
      <c r="T65">
        <f t="shared" si="2"/>
        <v>1</v>
      </c>
      <c r="U65" t="s">
        <v>6</v>
      </c>
      <c r="V65">
        <f t="shared" si="3"/>
        <v>0</v>
      </c>
      <c r="W65">
        <f t="shared" si="4"/>
        <v>1</v>
      </c>
      <c r="X65" t="s">
        <v>4</v>
      </c>
      <c r="Y65">
        <f t="shared" si="5"/>
        <v>0</v>
      </c>
      <c r="Z65">
        <v>10795</v>
      </c>
    </row>
    <row r="66" spans="1:26">
      <c r="A66">
        <v>0</v>
      </c>
      <c r="B66" s="214">
        <v>98.8</v>
      </c>
      <c r="C66" s="214">
        <v>177.8</v>
      </c>
      <c r="D66" s="214">
        <v>66.5</v>
      </c>
      <c r="E66" s="216">
        <v>55.5</v>
      </c>
      <c r="F66" s="214">
        <v>2425</v>
      </c>
      <c r="G66">
        <v>122</v>
      </c>
      <c r="H66">
        <v>3.39</v>
      </c>
      <c r="I66">
        <v>3.39</v>
      </c>
      <c r="J66" s="214">
        <v>8.6</v>
      </c>
      <c r="K66" s="214">
        <v>84</v>
      </c>
      <c r="L66">
        <v>4800</v>
      </c>
      <c r="M66">
        <v>26</v>
      </c>
      <c r="N66">
        <v>32</v>
      </c>
      <c r="O66" t="s">
        <v>0</v>
      </c>
      <c r="P66">
        <f t="shared" si="0"/>
        <v>0</v>
      </c>
      <c r="Q66" t="s">
        <v>1</v>
      </c>
      <c r="R66">
        <f t="shared" si="1"/>
        <v>0</v>
      </c>
      <c r="S66" t="s">
        <v>5</v>
      </c>
      <c r="T66">
        <f t="shared" si="2"/>
        <v>1</v>
      </c>
      <c r="U66" t="s">
        <v>6</v>
      </c>
      <c r="V66">
        <f t="shared" si="3"/>
        <v>0</v>
      </c>
      <c r="W66">
        <f t="shared" si="4"/>
        <v>1</v>
      </c>
      <c r="X66" t="s">
        <v>4</v>
      </c>
      <c r="Y66">
        <f t="shared" si="5"/>
        <v>0</v>
      </c>
      <c r="Z66">
        <v>11245</v>
      </c>
    </row>
    <row r="67" spans="1:26">
      <c r="A67">
        <v>0</v>
      </c>
      <c r="B67" s="214">
        <v>104.9</v>
      </c>
      <c r="C67" s="214">
        <v>175</v>
      </c>
      <c r="D67" s="214">
        <v>66.099999999999994</v>
      </c>
      <c r="E67" s="216">
        <v>54.4</v>
      </c>
      <c r="F67" s="214">
        <v>2670</v>
      </c>
      <c r="G67">
        <v>140</v>
      </c>
      <c r="H67">
        <v>3.76</v>
      </c>
      <c r="I67">
        <v>3.16</v>
      </c>
      <c r="J67" s="214">
        <v>8</v>
      </c>
      <c r="K67" s="214">
        <v>120</v>
      </c>
      <c r="L67">
        <v>5000</v>
      </c>
      <c r="M67">
        <v>19</v>
      </c>
      <c r="N67">
        <v>27</v>
      </c>
      <c r="O67" t="s">
        <v>0</v>
      </c>
      <c r="P67">
        <f t="shared" ref="P67:P130" si="6">IF(O67=$P$1,1,0)</f>
        <v>0</v>
      </c>
      <c r="Q67" t="s">
        <v>1</v>
      </c>
      <c r="R67">
        <f t="shared" ref="R67:R130" si="7">IF(Q67=$R$1,1,0)</f>
        <v>0</v>
      </c>
      <c r="S67" t="s">
        <v>5</v>
      </c>
      <c r="T67">
        <f t="shared" ref="T67:T130" si="8">IF(S67=$T$1,1,0)</f>
        <v>1</v>
      </c>
      <c r="U67" t="s">
        <v>3</v>
      </c>
      <c r="V67">
        <f t="shared" ref="V67:V130" si="9">IF(U67=$V$1,1,0)</f>
        <v>0</v>
      </c>
      <c r="W67">
        <f t="shared" ref="W67:W130" si="10">IF(U67=$W$1,1,0)</f>
        <v>0</v>
      </c>
      <c r="X67" t="s">
        <v>4</v>
      </c>
      <c r="Y67">
        <f t="shared" ref="Y67:Y130" si="11">IF(X67=$Y$1,1,0)</f>
        <v>0</v>
      </c>
      <c r="Z67">
        <v>18280</v>
      </c>
    </row>
    <row r="68" spans="1:26">
      <c r="A68">
        <v>0</v>
      </c>
      <c r="B68" s="214">
        <v>104.9</v>
      </c>
      <c r="C68" s="214">
        <v>175</v>
      </c>
      <c r="D68" s="214">
        <v>66.099999999999994</v>
      </c>
      <c r="E68" s="216">
        <v>54.4</v>
      </c>
      <c r="F68" s="214">
        <v>2700</v>
      </c>
      <c r="G68">
        <v>134</v>
      </c>
      <c r="H68">
        <v>3.43</v>
      </c>
      <c r="I68">
        <v>3.64</v>
      </c>
      <c r="J68" s="214">
        <v>22</v>
      </c>
      <c r="K68" s="214">
        <v>72</v>
      </c>
      <c r="L68">
        <v>4200</v>
      </c>
      <c r="M68">
        <v>31</v>
      </c>
      <c r="N68">
        <v>39</v>
      </c>
      <c r="O68" t="s">
        <v>9</v>
      </c>
      <c r="P68">
        <f t="shared" si="6"/>
        <v>1</v>
      </c>
      <c r="Q68" t="s">
        <v>1</v>
      </c>
      <c r="R68">
        <f t="shared" si="7"/>
        <v>0</v>
      </c>
      <c r="S68" t="s">
        <v>5</v>
      </c>
      <c r="T68">
        <f t="shared" si="8"/>
        <v>1</v>
      </c>
      <c r="U68" t="s">
        <v>3</v>
      </c>
      <c r="V68">
        <f t="shared" si="9"/>
        <v>0</v>
      </c>
      <c r="W68">
        <f t="shared" si="10"/>
        <v>0</v>
      </c>
      <c r="X68" t="s">
        <v>4</v>
      </c>
      <c r="Y68">
        <f t="shared" si="11"/>
        <v>0</v>
      </c>
      <c r="Z68">
        <v>18344</v>
      </c>
    </row>
    <row r="69" spans="1:26">
      <c r="A69">
        <v>-1</v>
      </c>
      <c r="B69" s="214">
        <v>110</v>
      </c>
      <c r="C69" s="214">
        <v>190.9</v>
      </c>
      <c r="D69" s="214">
        <v>70.3</v>
      </c>
      <c r="E69" s="216">
        <v>56.5</v>
      </c>
      <c r="F69" s="214">
        <v>3515</v>
      </c>
      <c r="G69">
        <v>183</v>
      </c>
      <c r="H69">
        <v>3.58</v>
      </c>
      <c r="I69">
        <v>3.64</v>
      </c>
      <c r="J69" s="214">
        <v>21.5</v>
      </c>
      <c r="K69" s="214">
        <v>123</v>
      </c>
      <c r="L69">
        <v>4350</v>
      </c>
      <c r="M69">
        <v>22</v>
      </c>
      <c r="N69">
        <v>25</v>
      </c>
      <c r="O69" t="s">
        <v>9</v>
      </c>
      <c r="P69">
        <f t="shared" si="6"/>
        <v>1</v>
      </c>
      <c r="Q69" t="s">
        <v>8</v>
      </c>
      <c r="R69">
        <f t="shared" si="7"/>
        <v>1</v>
      </c>
      <c r="S69" t="s">
        <v>5</v>
      </c>
      <c r="T69">
        <f t="shared" si="8"/>
        <v>1</v>
      </c>
      <c r="U69" t="s">
        <v>3</v>
      </c>
      <c r="V69">
        <f t="shared" si="9"/>
        <v>0</v>
      </c>
      <c r="W69">
        <f t="shared" si="10"/>
        <v>0</v>
      </c>
      <c r="X69" t="s">
        <v>4</v>
      </c>
      <c r="Y69">
        <f t="shared" si="11"/>
        <v>0</v>
      </c>
      <c r="Z69">
        <v>25552</v>
      </c>
    </row>
    <row r="70" spans="1:26">
      <c r="A70">
        <v>-1</v>
      </c>
      <c r="B70" s="214">
        <v>110</v>
      </c>
      <c r="C70" s="214">
        <v>190.9</v>
      </c>
      <c r="D70" s="214">
        <v>70.3</v>
      </c>
      <c r="E70" s="216">
        <v>58.7</v>
      </c>
      <c r="F70" s="214">
        <v>3750</v>
      </c>
      <c r="G70">
        <v>183</v>
      </c>
      <c r="H70">
        <v>3.58</v>
      </c>
      <c r="I70">
        <v>3.64</v>
      </c>
      <c r="J70" s="214">
        <v>21.5</v>
      </c>
      <c r="K70" s="214">
        <v>123</v>
      </c>
      <c r="L70">
        <v>4350</v>
      </c>
      <c r="M70">
        <v>22</v>
      </c>
      <c r="N70">
        <v>25</v>
      </c>
      <c r="O70" t="s">
        <v>9</v>
      </c>
      <c r="P70">
        <f t="shared" si="6"/>
        <v>1</v>
      </c>
      <c r="Q70" t="s">
        <v>8</v>
      </c>
      <c r="R70">
        <f t="shared" si="7"/>
        <v>1</v>
      </c>
      <c r="S70" t="s">
        <v>5</v>
      </c>
      <c r="T70">
        <f t="shared" si="8"/>
        <v>1</v>
      </c>
      <c r="U70" t="s">
        <v>3</v>
      </c>
      <c r="V70">
        <f t="shared" si="9"/>
        <v>0</v>
      </c>
      <c r="W70">
        <f t="shared" si="10"/>
        <v>0</v>
      </c>
      <c r="X70" t="s">
        <v>4</v>
      </c>
      <c r="Y70">
        <f t="shared" si="11"/>
        <v>0</v>
      </c>
      <c r="Z70">
        <v>28248</v>
      </c>
    </row>
    <row r="71" spans="1:26">
      <c r="A71">
        <v>0</v>
      </c>
      <c r="B71" s="214">
        <v>106.7</v>
      </c>
      <c r="C71" s="214">
        <v>187.5</v>
      </c>
      <c r="D71" s="214">
        <v>70.3</v>
      </c>
      <c r="E71" s="216">
        <v>54.9</v>
      </c>
      <c r="F71" s="214">
        <v>3495</v>
      </c>
      <c r="G71">
        <v>183</v>
      </c>
      <c r="H71">
        <v>3.58</v>
      </c>
      <c r="I71">
        <v>3.64</v>
      </c>
      <c r="J71" s="214">
        <v>21.5</v>
      </c>
      <c r="K71" s="214">
        <v>123</v>
      </c>
      <c r="L71">
        <v>4350</v>
      </c>
      <c r="M71">
        <v>22</v>
      </c>
      <c r="N71">
        <v>25</v>
      </c>
      <c r="O71" t="s">
        <v>9</v>
      </c>
      <c r="P71">
        <f t="shared" si="6"/>
        <v>1</v>
      </c>
      <c r="Q71" t="s">
        <v>8</v>
      </c>
      <c r="R71">
        <f t="shared" si="7"/>
        <v>1</v>
      </c>
      <c r="S71" t="s">
        <v>2</v>
      </c>
      <c r="T71">
        <f t="shared" si="8"/>
        <v>0</v>
      </c>
      <c r="U71" t="s">
        <v>3</v>
      </c>
      <c r="V71">
        <f t="shared" si="9"/>
        <v>0</v>
      </c>
      <c r="W71">
        <f t="shared" si="10"/>
        <v>0</v>
      </c>
      <c r="X71" t="s">
        <v>4</v>
      </c>
      <c r="Y71">
        <f t="shared" si="11"/>
        <v>0</v>
      </c>
      <c r="Z71">
        <v>28176</v>
      </c>
    </row>
    <row r="72" spans="1:26">
      <c r="A72">
        <v>-1</v>
      </c>
      <c r="B72" s="214">
        <v>115.6</v>
      </c>
      <c r="C72" s="214">
        <v>202.6</v>
      </c>
      <c r="D72" s="214">
        <v>71.7</v>
      </c>
      <c r="E72" s="216">
        <v>56.3</v>
      </c>
      <c r="F72" s="214">
        <v>3770</v>
      </c>
      <c r="G72">
        <v>183</v>
      </c>
      <c r="H72">
        <v>3.58</v>
      </c>
      <c r="I72">
        <v>3.64</v>
      </c>
      <c r="J72" s="214">
        <v>21.5</v>
      </c>
      <c r="K72" s="214">
        <v>123</v>
      </c>
      <c r="L72">
        <v>4350</v>
      </c>
      <c r="M72">
        <v>22</v>
      </c>
      <c r="N72">
        <v>25</v>
      </c>
      <c r="O72" t="s">
        <v>9</v>
      </c>
      <c r="P72">
        <f t="shared" si="6"/>
        <v>1</v>
      </c>
      <c r="Q72" t="s">
        <v>8</v>
      </c>
      <c r="R72">
        <f t="shared" si="7"/>
        <v>1</v>
      </c>
      <c r="S72" t="s">
        <v>5</v>
      </c>
      <c r="T72">
        <f t="shared" si="8"/>
        <v>1</v>
      </c>
      <c r="U72" t="s">
        <v>3</v>
      </c>
      <c r="V72">
        <f t="shared" si="9"/>
        <v>0</v>
      </c>
      <c r="W72">
        <f t="shared" si="10"/>
        <v>0</v>
      </c>
      <c r="X72" t="s">
        <v>4</v>
      </c>
      <c r="Y72">
        <f t="shared" si="11"/>
        <v>0</v>
      </c>
      <c r="Z72">
        <v>31600</v>
      </c>
    </row>
    <row r="73" spans="1:26">
      <c r="A73">
        <v>-1</v>
      </c>
      <c r="B73" s="214">
        <v>115.6</v>
      </c>
      <c r="C73" s="214">
        <v>202.6</v>
      </c>
      <c r="D73" s="214">
        <v>71.7</v>
      </c>
      <c r="E73" s="216">
        <v>56.5</v>
      </c>
      <c r="F73" s="214">
        <v>3740</v>
      </c>
      <c r="G73">
        <v>234</v>
      </c>
      <c r="H73">
        <v>3.46</v>
      </c>
      <c r="I73">
        <v>3.1</v>
      </c>
      <c r="J73" s="214">
        <v>8.3000000000000007</v>
      </c>
      <c r="K73" s="214">
        <v>155</v>
      </c>
      <c r="L73">
        <v>4750</v>
      </c>
      <c r="M73">
        <v>16</v>
      </c>
      <c r="N73">
        <v>18</v>
      </c>
      <c r="O73" t="s">
        <v>0</v>
      </c>
      <c r="P73">
        <f t="shared" si="6"/>
        <v>0</v>
      </c>
      <c r="Q73" t="s">
        <v>1</v>
      </c>
      <c r="R73">
        <f t="shared" si="7"/>
        <v>0</v>
      </c>
      <c r="S73" t="s">
        <v>5</v>
      </c>
      <c r="T73">
        <f t="shared" si="8"/>
        <v>1</v>
      </c>
      <c r="U73" t="s">
        <v>3</v>
      </c>
      <c r="V73">
        <f t="shared" si="9"/>
        <v>0</v>
      </c>
      <c r="W73">
        <f t="shared" si="10"/>
        <v>0</v>
      </c>
      <c r="X73" t="s">
        <v>4</v>
      </c>
      <c r="Y73">
        <f t="shared" si="11"/>
        <v>0</v>
      </c>
      <c r="Z73">
        <v>34184</v>
      </c>
    </row>
    <row r="74" spans="1:26">
      <c r="A74">
        <v>3</v>
      </c>
      <c r="B74" s="214">
        <v>96.6</v>
      </c>
      <c r="C74" s="214">
        <v>180.3</v>
      </c>
      <c r="D74" s="214">
        <v>70.5</v>
      </c>
      <c r="E74" s="216">
        <v>50.8</v>
      </c>
      <c r="F74" s="214">
        <v>3685</v>
      </c>
      <c r="G74">
        <v>234</v>
      </c>
      <c r="H74">
        <v>3.46</v>
      </c>
      <c r="I74">
        <v>3.1</v>
      </c>
      <c r="J74" s="214">
        <v>8.3000000000000007</v>
      </c>
      <c r="K74" s="214">
        <v>155</v>
      </c>
      <c r="L74">
        <v>4750</v>
      </c>
      <c r="M74">
        <v>16</v>
      </c>
      <c r="N74">
        <v>18</v>
      </c>
      <c r="O74" t="s">
        <v>0</v>
      </c>
      <c r="P74">
        <f t="shared" si="6"/>
        <v>0</v>
      </c>
      <c r="Q74" t="s">
        <v>1</v>
      </c>
      <c r="R74">
        <f t="shared" si="7"/>
        <v>0</v>
      </c>
      <c r="S74" t="s">
        <v>2</v>
      </c>
      <c r="T74">
        <f t="shared" si="8"/>
        <v>0</v>
      </c>
      <c r="U74" t="s">
        <v>3</v>
      </c>
      <c r="V74">
        <f t="shared" si="9"/>
        <v>0</v>
      </c>
      <c r="W74">
        <f t="shared" si="10"/>
        <v>0</v>
      </c>
      <c r="X74" t="s">
        <v>4</v>
      </c>
      <c r="Y74">
        <f t="shared" si="11"/>
        <v>0</v>
      </c>
      <c r="Z74">
        <v>35056</v>
      </c>
    </row>
    <row r="75" spans="1:26">
      <c r="A75">
        <v>0</v>
      </c>
      <c r="B75" s="214">
        <v>120.9</v>
      </c>
      <c r="C75" s="214">
        <v>208.1</v>
      </c>
      <c r="D75" s="214">
        <v>71.7</v>
      </c>
      <c r="E75" s="216">
        <v>56.7</v>
      </c>
      <c r="F75" s="214">
        <v>3900</v>
      </c>
      <c r="G75">
        <v>308</v>
      </c>
      <c r="H75">
        <v>3.8</v>
      </c>
      <c r="I75">
        <v>3.35</v>
      </c>
      <c r="J75" s="214">
        <v>8</v>
      </c>
      <c r="K75" s="214">
        <v>184</v>
      </c>
      <c r="L75">
        <v>4500</v>
      </c>
      <c r="M75">
        <v>14</v>
      </c>
      <c r="N75">
        <v>16</v>
      </c>
      <c r="O75" t="s">
        <v>0</v>
      </c>
      <c r="P75">
        <f t="shared" si="6"/>
        <v>0</v>
      </c>
      <c r="Q75" t="s">
        <v>1</v>
      </c>
      <c r="R75">
        <f t="shared" si="7"/>
        <v>0</v>
      </c>
      <c r="S75" t="s">
        <v>5</v>
      </c>
      <c r="T75">
        <f t="shared" si="8"/>
        <v>1</v>
      </c>
      <c r="U75" t="s">
        <v>3</v>
      </c>
      <c r="V75">
        <f t="shared" si="9"/>
        <v>0</v>
      </c>
      <c r="W75">
        <f t="shared" si="10"/>
        <v>0</v>
      </c>
      <c r="X75" t="s">
        <v>4</v>
      </c>
      <c r="Y75">
        <f t="shared" si="11"/>
        <v>0</v>
      </c>
      <c r="Z75">
        <v>40960</v>
      </c>
    </row>
    <row r="76" spans="1:26">
      <c r="A76">
        <v>1</v>
      </c>
      <c r="B76" s="214">
        <v>112</v>
      </c>
      <c r="C76" s="214">
        <v>199.2</v>
      </c>
      <c r="D76" s="214">
        <v>72</v>
      </c>
      <c r="E76" s="216">
        <v>55.4</v>
      </c>
      <c r="F76" s="214">
        <v>3715</v>
      </c>
      <c r="G76">
        <v>304</v>
      </c>
      <c r="H76">
        <v>3.8</v>
      </c>
      <c r="I76">
        <v>3.35</v>
      </c>
      <c r="J76" s="214">
        <v>8</v>
      </c>
      <c r="K76" s="214">
        <v>184</v>
      </c>
      <c r="L76">
        <v>4500</v>
      </c>
      <c r="M76">
        <v>14</v>
      </c>
      <c r="N76">
        <v>16</v>
      </c>
      <c r="O76" t="s">
        <v>0</v>
      </c>
      <c r="P76">
        <f t="shared" si="6"/>
        <v>0</v>
      </c>
      <c r="Q76" t="s">
        <v>1</v>
      </c>
      <c r="R76">
        <f t="shared" si="7"/>
        <v>0</v>
      </c>
      <c r="S76" t="s">
        <v>2</v>
      </c>
      <c r="T76">
        <f t="shared" si="8"/>
        <v>0</v>
      </c>
      <c r="U76" t="s">
        <v>3</v>
      </c>
      <c r="V76">
        <f t="shared" si="9"/>
        <v>0</v>
      </c>
      <c r="W76">
        <f t="shared" si="10"/>
        <v>0</v>
      </c>
      <c r="X76" t="s">
        <v>4</v>
      </c>
      <c r="Y76">
        <f t="shared" si="11"/>
        <v>0</v>
      </c>
      <c r="Z76">
        <v>45400</v>
      </c>
    </row>
    <row r="77" spans="1:26">
      <c r="A77">
        <v>1</v>
      </c>
      <c r="B77" s="214">
        <v>102.7</v>
      </c>
      <c r="C77" s="214">
        <v>178.4</v>
      </c>
      <c r="D77" s="214">
        <v>68</v>
      </c>
      <c r="E77" s="216">
        <v>54.8</v>
      </c>
      <c r="F77" s="214">
        <v>2910</v>
      </c>
      <c r="G77">
        <v>140</v>
      </c>
      <c r="H77">
        <v>3.78</v>
      </c>
      <c r="I77">
        <v>3.12</v>
      </c>
      <c r="J77" s="214">
        <v>8</v>
      </c>
      <c r="K77" s="214">
        <v>175</v>
      </c>
      <c r="L77">
        <v>5000</v>
      </c>
      <c r="M77">
        <v>19</v>
      </c>
      <c r="N77">
        <v>24</v>
      </c>
      <c r="O77" t="s">
        <v>0</v>
      </c>
      <c r="P77">
        <f t="shared" si="6"/>
        <v>0</v>
      </c>
      <c r="Q77" t="s">
        <v>8</v>
      </c>
      <c r="R77">
        <f t="shared" si="7"/>
        <v>1</v>
      </c>
      <c r="S77" t="s">
        <v>2</v>
      </c>
      <c r="T77">
        <f t="shared" si="8"/>
        <v>0</v>
      </c>
      <c r="U77" t="s">
        <v>3</v>
      </c>
      <c r="V77">
        <f t="shared" si="9"/>
        <v>0</v>
      </c>
      <c r="W77">
        <f t="shared" si="10"/>
        <v>0</v>
      </c>
      <c r="X77" t="s">
        <v>4</v>
      </c>
      <c r="Y77">
        <f t="shared" si="11"/>
        <v>0</v>
      </c>
      <c r="Z77">
        <v>16503</v>
      </c>
    </row>
    <row r="78" spans="1:26">
      <c r="A78">
        <v>2</v>
      </c>
      <c r="B78" s="214">
        <v>93.7</v>
      </c>
      <c r="C78" s="214">
        <v>157.30000000000001</v>
      </c>
      <c r="D78" s="214">
        <v>64.400000000000006</v>
      </c>
      <c r="E78" s="216">
        <v>50.8</v>
      </c>
      <c r="F78" s="214">
        <v>1918</v>
      </c>
      <c r="G78">
        <v>92</v>
      </c>
      <c r="H78">
        <v>2.97</v>
      </c>
      <c r="I78">
        <v>3.23</v>
      </c>
      <c r="J78" s="214">
        <v>9.4</v>
      </c>
      <c r="K78" s="214">
        <v>68</v>
      </c>
      <c r="L78">
        <v>5500</v>
      </c>
      <c r="M78">
        <v>37</v>
      </c>
      <c r="N78">
        <v>41</v>
      </c>
      <c r="O78" t="s">
        <v>0</v>
      </c>
      <c r="P78">
        <f t="shared" si="6"/>
        <v>0</v>
      </c>
      <c r="Q78" t="s">
        <v>1</v>
      </c>
      <c r="R78">
        <f t="shared" si="7"/>
        <v>0</v>
      </c>
      <c r="S78" t="s">
        <v>2</v>
      </c>
      <c r="T78">
        <f t="shared" si="8"/>
        <v>0</v>
      </c>
      <c r="U78" t="s">
        <v>6</v>
      </c>
      <c r="V78">
        <f t="shared" si="9"/>
        <v>0</v>
      </c>
      <c r="W78">
        <f t="shared" si="10"/>
        <v>1</v>
      </c>
      <c r="X78" t="s">
        <v>4</v>
      </c>
      <c r="Y78">
        <f t="shared" si="11"/>
        <v>0</v>
      </c>
      <c r="Z78">
        <v>5389</v>
      </c>
    </row>
    <row r="79" spans="1:26">
      <c r="A79">
        <v>2</v>
      </c>
      <c r="B79" s="214">
        <v>93.7</v>
      </c>
      <c r="C79" s="214">
        <v>157.30000000000001</v>
      </c>
      <c r="D79" s="214">
        <v>64.400000000000006</v>
      </c>
      <c r="E79" s="216">
        <v>50.8</v>
      </c>
      <c r="F79" s="214">
        <v>1944</v>
      </c>
      <c r="G79">
        <v>92</v>
      </c>
      <c r="H79">
        <v>2.97</v>
      </c>
      <c r="I79">
        <v>3.23</v>
      </c>
      <c r="J79" s="214">
        <v>9.4</v>
      </c>
      <c r="K79" s="214">
        <v>68</v>
      </c>
      <c r="L79">
        <v>5500</v>
      </c>
      <c r="M79">
        <v>31</v>
      </c>
      <c r="N79">
        <v>38</v>
      </c>
      <c r="O79" t="s">
        <v>0</v>
      </c>
      <c r="P79">
        <f t="shared" si="6"/>
        <v>0</v>
      </c>
      <c r="Q79" t="s">
        <v>1</v>
      </c>
      <c r="R79">
        <f t="shared" si="7"/>
        <v>0</v>
      </c>
      <c r="S79" t="s">
        <v>2</v>
      </c>
      <c r="T79">
        <f t="shared" si="8"/>
        <v>0</v>
      </c>
      <c r="U79" t="s">
        <v>6</v>
      </c>
      <c r="V79">
        <f t="shared" si="9"/>
        <v>0</v>
      </c>
      <c r="W79">
        <f t="shared" si="10"/>
        <v>1</v>
      </c>
      <c r="X79" t="s">
        <v>4</v>
      </c>
      <c r="Y79">
        <f t="shared" si="11"/>
        <v>0</v>
      </c>
      <c r="Z79">
        <v>6189</v>
      </c>
    </row>
    <row r="80" spans="1:26">
      <c r="A80">
        <v>2</v>
      </c>
      <c r="B80" s="214">
        <v>93.7</v>
      </c>
      <c r="C80" s="214">
        <v>157.30000000000001</v>
      </c>
      <c r="D80" s="214">
        <v>64.400000000000006</v>
      </c>
      <c r="E80" s="216">
        <v>50.8</v>
      </c>
      <c r="F80" s="214">
        <v>2004</v>
      </c>
      <c r="G80">
        <v>92</v>
      </c>
      <c r="H80">
        <v>2.97</v>
      </c>
      <c r="I80">
        <v>3.23</v>
      </c>
      <c r="J80" s="214">
        <v>9.4</v>
      </c>
      <c r="K80" s="214">
        <v>68</v>
      </c>
      <c r="L80">
        <v>5500</v>
      </c>
      <c r="M80">
        <v>31</v>
      </c>
      <c r="N80">
        <v>38</v>
      </c>
      <c r="O80" t="s">
        <v>0</v>
      </c>
      <c r="P80">
        <f t="shared" si="6"/>
        <v>0</v>
      </c>
      <c r="Q80" t="s">
        <v>1</v>
      </c>
      <c r="R80">
        <f t="shared" si="7"/>
        <v>0</v>
      </c>
      <c r="S80" t="s">
        <v>2</v>
      </c>
      <c r="T80">
        <f t="shared" si="8"/>
        <v>0</v>
      </c>
      <c r="U80" t="s">
        <v>6</v>
      </c>
      <c r="V80">
        <f t="shared" si="9"/>
        <v>0</v>
      </c>
      <c r="W80">
        <f t="shared" si="10"/>
        <v>1</v>
      </c>
      <c r="X80" t="s">
        <v>4</v>
      </c>
      <c r="Y80">
        <f t="shared" si="11"/>
        <v>0</v>
      </c>
      <c r="Z80">
        <v>6669</v>
      </c>
    </row>
    <row r="81" spans="1:26">
      <c r="A81">
        <v>1</v>
      </c>
      <c r="B81" s="214">
        <v>93</v>
      </c>
      <c r="C81" s="214">
        <v>157.30000000000001</v>
      </c>
      <c r="D81" s="214">
        <v>63.8</v>
      </c>
      <c r="E81" s="216">
        <v>50.8</v>
      </c>
      <c r="F81" s="214">
        <v>2145</v>
      </c>
      <c r="G81">
        <v>98</v>
      </c>
      <c r="H81">
        <v>3.03</v>
      </c>
      <c r="I81">
        <v>3.39</v>
      </c>
      <c r="J81" s="214">
        <v>7.6</v>
      </c>
      <c r="K81" s="214">
        <v>102</v>
      </c>
      <c r="L81">
        <v>5500</v>
      </c>
      <c r="M81">
        <v>24</v>
      </c>
      <c r="N81">
        <v>30</v>
      </c>
      <c r="O81" t="s">
        <v>0</v>
      </c>
      <c r="P81">
        <f t="shared" si="6"/>
        <v>0</v>
      </c>
      <c r="Q81" t="s">
        <v>8</v>
      </c>
      <c r="R81">
        <f t="shared" si="7"/>
        <v>1</v>
      </c>
      <c r="S81" t="s">
        <v>2</v>
      </c>
      <c r="T81">
        <f t="shared" si="8"/>
        <v>0</v>
      </c>
      <c r="U81" t="s">
        <v>6</v>
      </c>
      <c r="V81">
        <f t="shared" si="9"/>
        <v>0</v>
      </c>
      <c r="W81">
        <f t="shared" si="10"/>
        <v>1</v>
      </c>
      <c r="X81" t="s">
        <v>4</v>
      </c>
      <c r="Y81">
        <f t="shared" si="11"/>
        <v>0</v>
      </c>
      <c r="Z81">
        <v>7689</v>
      </c>
    </row>
    <row r="82" spans="1:26">
      <c r="A82">
        <v>3</v>
      </c>
      <c r="B82" s="214">
        <v>96.3</v>
      </c>
      <c r="C82" s="214">
        <v>173</v>
      </c>
      <c r="D82" s="214">
        <v>65.400000000000006</v>
      </c>
      <c r="E82" s="216">
        <v>49.4</v>
      </c>
      <c r="F82" s="214">
        <v>2370</v>
      </c>
      <c r="G82">
        <v>110</v>
      </c>
      <c r="H82">
        <v>3.17</v>
      </c>
      <c r="I82">
        <v>3.46</v>
      </c>
      <c r="J82" s="214">
        <v>7.5</v>
      </c>
      <c r="K82" s="214">
        <v>116</v>
      </c>
      <c r="L82">
        <v>5500</v>
      </c>
      <c r="M82">
        <v>23</v>
      </c>
      <c r="N82">
        <v>30</v>
      </c>
      <c r="O82" t="s">
        <v>0</v>
      </c>
      <c r="P82">
        <f t="shared" si="6"/>
        <v>0</v>
      </c>
      <c r="Q82" t="s">
        <v>8</v>
      </c>
      <c r="R82">
        <f t="shared" si="7"/>
        <v>1</v>
      </c>
      <c r="S82" t="s">
        <v>2</v>
      </c>
      <c r="T82">
        <f t="shared" si="8"/>
        <v>0</v>
      </c>
      <c r="U82" t="s">
        <v>6</v>
      </c>
      <c r="V82">
        <f t="shared" si="9"/>
        <v>0</v>
      </c>
      <c r="W82">
        <f t="shared" si="10"/>
        <v>1</v>
      </c>
      <c r="X82" t="s">
        <v>4</v>
      </c>
      <c r="Y82">
        <f t="shared" si="11"/>
        <v>0</v>
      </c>
      <c r="Z82">
        <v>9959</v>
      </c>
    </row>
    <row r="83" spans="1:26">
      <c r="A83">
        <v>3</v>
      </c>
      <c r="B83" s="214">
        <v>96.3</v>
      </c>
      <c r="C83" s="214">
        <v>173</v>
      </c>
      <c r="D83" s="214">
        <v>65.400000000000006</v>
      </c>
      <c r="E83" s="216">
        <v>49.4</v>
      </c>
      <c r="F83" s="214">
        <v>2328</v>
      </c>
      <c r="G83">
        <v>122</v>
      </c>
      <c r="H83">
        <v>3.35</v>
      </c>
      <c r="I83">
        <v>3.46</v>
      </c>
      <c r="J83" s="214">
        <v>8.5</v>
      </c>
      <c r="K83" s="214">
        <v>88</v>
      </c>
      <c r="L83">
        <v>5000</v>
      </c>
      <c r="M83">
        <v>25</v>
      </c>
      <c r="N83">
        <v>32</v>
      </c>
      <c r="O83" t="s">
        <v>0</v>
      </c>
      <c r="P83">
        <f t="shared" si="6"/>
        <v>0</v>
      </c>
      <c r="Q83" t="s">
        <v>1</v>
      </c>
      <c r="R83">
        <f t="shared" si="7"/>
        <v>0</v>
      </c>
      <c r="S83" t="s">
        <v>2</v>
      </c>
      <c r="T83">
        <f t="shared" si="8"/>
        <v>0</v>
      </c>
      <c r="U83" t="s">
        <v>6</v>
      </c>
      <c r="V83">
        <f t="shared" si="9"/>
        <v>0</v>
      </c>
      <c r="W83">
        <f t="shared" si="10"/>
        <v>1</v>
      </c>
      <c r="X83" t="s">
        <v>4</v>
      </c>
      <c r="Y83">
        <f t="shared" si="11"/>
        <v>0</v>
      </c>
      <c r="Z83">
        <v>8499</v>
      </c>
    </row>
    <row r="84" spans="1:26">
      <c r="A84">
        <v>3</v>
      </c>
      <c r="B84" s="214">
        <v>95.9</v>
      </c>
      <c r="C84" s="214">
        <v>173.2</v>
      </c>
      <c r="D84" s="214">
        <v>66.3</v>
      </c>
      <c r="E84" s="216">
        <v>50.2</v>
      </c>
      <c r="F84" s="214">
        <v>2833</v>
      </c>
      <c r="G84">
        <v>156</v>
      </c>
      <c r="H84">
        <v>3.58</v>
      </c>
      <c r="I84">
        <v>3.86</v>
      </c>
      <c r="J84" s="214">
        <v>7</v>
      </c>
      <c r="K84" s="214">
        <v>145</v>
      </c>
      <c r="L84">
        <v>5000</v>
      </c>
      <c r="M84">
        <v>19</v>
      </c>
      <c r="N84">
        <v>24</v>
      </c>
      <c r="O84" t="s">
        <v>0</v>
      </c>
      <c r="P84">
        <f t="shared" si="6"/>
        <v>0</v>
      </c>
      <c r="Q84" t="s">
        <v>8</v>
      </c>
      <c r="R84">
        <f t="shared" si="7"/>
        <v>1</v>
      </c>
      <c r="S84" t="s">
        <v>2</v>
      </c>
      <c r="T84">
        <f t="shared" si="8"/>
        <v>0</v>
      </c>
      <c r="U84" t="s">
        <v>6</v>
      </c>
      <c r="V84">
        <f t="shared" si="9"/>
        <v>0</v>
      </c>
      <c r="W84">
        <f t="shared" si="10"/>
        <v>1</v>
      </c>
      <c r="X84" t="s">
        <v>4</v>
      </c>
      <c r="Y84">
        <f t="shared" si="11"/>
        <v>0</v>
      </c>
      <c r="Z84">
        <v>12629</v>
      </c>
    </row>
    <row r="85" spans="1:26">
      <c r="A85">
        <v>3</v>
      </c>
      <c r="B85" s="214">
        <v>95.9</v>
      </c>
      <c r="C85" s="214">
        <v>173.2</v>
      </c>
      <c r="D85" s="214">
        <v>66.3</v>
      </c>
      <c r="E85" s="216">
        <v>50.2</v>
      </c>
      <c r="F85" s="214">
        <v>2921</v>
      </c>
      <c r="G85">
        <v>156</v>
      </c>
      <c r="H85">
        <v>3.59</v>
      </c>
      <c r="I85">
        <v>3.86</v>
      </c>
      <c r="J85" s="214">
        <v>7</v>
      </c>
      <c r="K85" s="214">
        <v>145</v>
      </c>
      <c r="L85">
        <v>5000</v>
      </c>
      <c r="M85">
        <v>19</v>
      </c>
      <c r="N85">
        <v>24</v>
      </c>
      <c r="O85" t="s">
        <v>0</v>
      </c>
      <c r="P85">
        <f t="shared" si="6"/>
        <v>0</v>
      </c>
      <c r="Q85" t="s">
        <v>8</v>
      </c>
      <c r="R85">
        <f t="shared" si="7"/>
        <v>1</v>
      </c>
      <c r="S85" t="s">
        <v>2</v>
      </c>
      <c r="T85">
        <f t="shared" si="8"/>
        <v>0</v>
      </c>
      <c r="U85" t="s">
        <v>6</v>
      </c>
      <c r="V85">
        <f t="shared" si="9"/>
        <v>0</v>
      </c>
      <c r="W85">
        <f t="shared" si="10"/>
        <v>1</v>
      </c>
      <c r="X85" t="s">
        <v>4</v>
      </c>
      <c r="Y85">
        <f t="shared" si="11"/>
        <v>0</v>
      </c>
      <c r="Z85">
        <v>14869</v>
      </c>
    </row>
    <row r="86" spans="1:26">
      <c r="A86">
        <v>3</v>
      </c>
      <c r="B86" s="214">
        <v>95.9</v>
      </c>
      <c r="C86" s="214">
        <v>173.2</v>
      </c>
      <c r="D86" s="214">
        <v>66.3</v>
      </c>
      <c r="E86" s="216">
        <v>50.2</v>
      </c>
      <c r="F86" s="214">
        <v>2926</v>
      </c>
      <c r="G86">
        <v>156</v>
      </c>
      <c r="H86">
        <v>3.59</v>
      </c>
      <c r="I86">
        <v>3.86</v>
      </c>
      <c r="J86" s="214">
        <v>7</v>
      </c>
      <c r="K86" s="214">
        <v>145</v>
      </c>
      <c r="L86">
        <v>5000</v>
      </c>
      <c r="M86">
        <v>19</v>
      </c>
      <c r="N86">
        <v>24</v>
      </c>
      <c r="O86" t="s">
        <v>0</v>
      </c>
      <c r="P86">
        <f t="shared" si="6"/>
        <v>0</v>
      </c>
      <c r="Q86" t="s">
        <v>8</v>
      </c>
      <c r="R86">
        <f t="shared" si="7"/>
        <v>1</v>
      </c>
      <c r="S86" t="s">
        <v>2</v>
      </c>
      <c r="T86">
        <f t="shared" si="8"/>
        <v>0</v>
      </c>
      <c r="U86" t="s">
        <v>6</v>
      </c>
      <c r="V86">
        <f t="shared" si="9"/>
        <v>0</v>
      </c>
      <c r="W86">
        <f t="shared" si="10"/>
        <v>1</v>
      </c>
      <c r="X86" t="s">
        <v>4</v>
      </c>
      <c r="Y86">
        <f t="shared" si="11"/>
        <v>0</v>
      </c>
      <c r="Z86">
        <v>14489</v>
      </c>
    </row>
    <row r="87" spans="1:26">
      <c r="A87">
        <v>1</v>
      </c>
      <c r="B87" s="214">
        <v>96.3</v>
      </c>
      <c r="C87" s="214">
        <v>172.4</v>
      </c>
      <c r="D87" s="214">
        <v>65.400000000000006</v>
      </c>
      <c r="E87" s="216">
        <v>51.6</v>
      </c>
      <c r="F87" s="214">
        <v>2365</v>
      </c>
      <c r="G87">
        <v>122</v>
      </c>
      <c r="H87">
        <v>3.35</v>
      </c>
      <c r="I87">
        <v>3.46</v>
      </c>
      <c r="J87" s="214">
        <v>8.5</v>
      </c>
      <c r="K87" s="214">
        <v>88</v>
      </c>
      <c r="L87">
        <v>5000</v>
      </c>
      <c r="M87">
        <v>25</v>
      </c>
      <c r="N87">
        <v>32</v>
      </c>
      <c r="O87" t="s">
        <v>0</v>
      </c>
      <c r="P87">
        <f t="shared" si="6"/>
        <v>0</v>
      </c>
      <c r="Q87" t="s">
        <v>1</v>
      </c>
      <c r="R87">
        <f t="shared" si="7"/>
        <v>0</v>
      </c>
      <c r="S87" t="s">
        <v>5</v>
      </c>
      <c r="T87">
        <f t="shared" si="8"/>
        <v>1</v>
      </c>
      <c r="U87" t="s">
        <v>6</v>
      </c>
      <c r="V87">
        <f t="shared" si="9"/>
        <v>0</v>
      </c>
      <c r="W87">
        <f t="shared" si="10"/>
        <v>1</v>
      </c>
      <c r="X87" t="s">
        <v>4</v>
      </c>
      <c r="Y87">
        <f t="shared" si="11"/>
        <v>0</v>
      </c>
      <c r="Z87">
        <v>6989</v>
      </c>
    </row>
    <row r="88" spans="1:26">
      <c r="A88">
        <v>1</v>
      </c>
      <c r="B88" s="214">
        <v>96.3</v>
      </c>
      <c r="C88" s="214">
        <v>172.4</v>
      </c>
      <c r="D88" s="214">
        <v>65.400000000000006</v>
      </c>
      <c r="E88" s="216">
        <v>51.6</v>
      </c>
      <c r="F88" s="214">
        <v>2405</v>
      </c>
      <c r="G88">
        <v>122</v>
      </c>
      <c r="H88">
        <v>3.35</v>
      </c>
      <c r="I88">
        <v>3.46</v>
      </c>
      <c r="J88" s="214">
        <v>8.5</v>
      </c>
      <c r="K88" s="214">
        <v>88</v>
      </c>
      <c r="L88">
        <v>5000</v>
      </c>
      <c r="M88">
        <v>25</v>
      </c>
      <c r="N88">
        <v>32</v>
      </c>
      <c r="O88" t="s">
        <v>0</v>
      </c>
      <c r="P88">
        <f t="shared" si="6"/>
        <v>0</v>
      </c>
      <c r="Q88" t="s">
        <v>1</v>
      </c>
      <c r="R88">
        <f t="shared" si="7"/>
        <v>0</v>
      </c>
      <c r="S88" t="s">
        <v>5</v>
      </c>
      <c r="T88">
        <f t="shared" si="8"/>
        <v>1</v>
      </c>
      <c r="U88" t="s">
        <v>6</v>
      </c>
      <c r="V88">
        <f t="shared" si="9"/>
        <v>0</v>
      </c>
      <c r="W88">
        <f t="shared" si="10"/>
        <v>1</v>
      </c>
      <c r="X88" t="s">
        <v>4</v>
      </c>
      <c r="Y88">
        <f t="shared" si="11"/>
        <v>0</v>
      </c>
      <c r="Z88">
        <v>8189</v>
      </c>
    </row>
    <row r="89" spans="1:26">
      <c r="A89">
        <v>1</v>
      </c>
      <c r="B89" s="214">
        <v>96.3</v>
      </c>
      <c r="C89" s="214">
        <v>172.4</v>
      </c>
      <c r="D89" s="214">
        <v>65.400000000000006</v>
      </c>
      <c r="E89" s="216">
        <v>51.6</v>
      </c>
      <c r="F89" s="214">
        <v>2403</v>
      </c>
      <c r="G89">
        <v>110</v>
      </c>
      <c r="H89">
        <v>3.17</v>
      </c>
      <c r="I89">
        <v>3.46</v>
      </c>
      <c r="J89" s="214">
        <v>7.5</v>
      </c>
      <c r="K89" s="214">
        <v>116</v>
      </c>
      <c r="L89">
        <v>5500</v>
      </c>
      <c r="M89">
        <v>23</v>
      </c>
      <c r="N89">
        <v>30</v>
      </c>
      <c r="O89" t="s">
        <v>0</v>
      </c>
      <c r="P89">
        <f t="shared" si="6"/>
        <v>0</v>
      </c>
      <c r="Q89" t="s">
        <v>8</v>
      </c>
      <c r="R89">
        <f t="shared" si="7"/>
        <v>1</v>
      </c>
      <c r="S89" t="s">
        <v>5</v>
      </c>
      <c r="T89">
        <f t="shared" si="8"/>
        <v>1</v>
      </c>
      <c r="U89" t="s">
        <v>6</v>
      </c>
      <c r="V89">
        <f t="shared" si="9"/>
        <v>0</v>
      </c>
      <c r="W89">
        <f t="shared" si="10"/>
        <v>1</v>
      </c>
      <c r="X89" t="s">
        <v>4</v>
      </c>
      <c r="Y89">
        <f t="shared" si="11"/>
        <v>0</v>
      </c>
      <c r="Z89">
        <v>9279</v>
      </c>
    </row>
    <row r="90" spans="1:26">
      <c r="A90">
        <v>-1</v>
      </c>
      <c r="B90" s="214">
        <v>96.3</v>
      </c>
      <c r="C90" s="214">
        <v>172.4</v>
      </c>
      <c r="D90" s="214">
        <v>65.400000000000006</v>
      </c>
      <c r="E90" s="216">
        <v>51.6</v>
      </c>
      <c r="F90" s="214">
        <v>2403</v>
      </c>
      <c r="G90">
        <v>110</v>
      </c>
      <c r="H90">
        <v>3.17</v>
      </c>
      <c r="I90">
        <v>3.46</v>
      </c>
      <c r="J90" s="214">
        <v>7.5</v>
      </c>
      <c r="K90" s="214">
        <v>116</v>
      </c>
      <c r="L90">
        <v>5500</v>
      </c>
      <c r="M90">
        <v>23</v>
      </c>
      <c r="N90">
        <v>30</v>
      </c>
      <c r="O90" t="s">
        <v>0</v>
      </c>
      <c r="P90">
        <f t="shared" si="6"/>
        <v>0</v>
      </c>
      <c r="Q90" t="s">
        <v>1</v>
      </c>
      <c r="R90">
        <f t="shared" si="7"/>
        <v>0</v>
      </c>
      <c r="S90" t="s">
        <v>5</v>
      </c>
      <c r="T90">
        <f t="shared" si="8"/>
        <v>1</v>
      </c>
      <c r="U90" t="s">
        <v>6</v>
      </c>
      <c r="V90">
        <f t="shared" si="9"/>
        <v>0</v>
      </c>
      <c r="W90">
        <f t="shared" si="10"/>
        <v>1</v>
      </c>
      <c r="X90" t="s">
        <v>4</v>
      </c>
      <c r="Y90">
        <f t="shared" si="11"/>
        <v>0</v>
      </c>
      <c r="Z90">
        <v>9279</v>
      </c>
    </row>
    <row r="91" spans="1:26">
      <c r="A91">
        <v>1</v>
      </c>
      <c r="B91" s="214">
        <v>94.5</v>
      </c>
      <c r="C91" s="214">
        <v>165.3</v>
      </c>
      <c r="D91" s="214">
        <v>63.8</v>
      </c>
      <c r="E91" s="216">
        <v>54.5</v>
      </c>
      <c r="F91" s="214">
        <v>1889</v>
      </c>
      <c r="G91">
        <v>97</v>
      </c>
      <c r="H91">
        <v>3.15</v>
      </c>
      <c r="I91">
        <v>3.29</v>
      </c>
      <c r="J91" s="214">
        <v>9.4</v>
      </c>
      <c r="K91" s="214">
        <v>69</v>
      </c>
      <c r="L91">
        <v>5200</v>
      </c>
      <c r="M91">
        <v>31</v>
      </c>
      <c r="N91">
        <v>37</v>
      </c>
      <c r="O91" t="s">
        <v>0</v>
      </c>
      <c r="P91">
        <f t="shared" si="6"/>
        <v>0</v>
      </c>
      <c r="Q91" t="s">
        <v>1</v>
      </c>
      <c r="R91">
        <f t="shared" si="7"/>
        <v>0</v>
      </c>
      <c r="S91" t="s">
        <v>2</v>
      </c>
      <c r="T91">
        <f t="shared" si="8"/>
        <v>0</v>
      </c>
      <c r="U91" t="s">
        <v>6</v>
      </c>
      <c r="V91">
        <f t="shared" si="9"/>
        <v>0</v>
      </c>
      <c r="W91">
        <f t="shared" si="10"/>
        <v>1</v>
      </c>
      <c r="X91" t="s">
        <v>4</v>
      </c>
      <c r="Y91">
        <f t="shared" si="11"/>
        <v>0</v>
      </c>
      <c r="Z91">
        <v>5499</v>
      </c>
    </row>
    <row r="92" spans="1:26">
      <c r="A92">
        <v>1</v>
      </c>
      <c r="B92" s="214">
        <v>94.5</v>
      </c>
      <c r="C92" s="214">
        <v>165.3</v>
      </c>
      <c r="D92" s="214">
        <v>63.8</v>
      </c>
      <c r="E92" s="216">
        <v>54.5</v>
      </c>
      <c r="F92" s="214">
        <v>2017</v>
      </c>
      <c r="G92">
        <v>103</v>
      </c>
      <c r="H92">
        <v>2.99</v>
      </c>
      <c r="I92">
        <v>3.47</v>
      </c>
      <c r="J92" s="214">
        <v>21.9</v>
      </c>
      <c r="K92" s="214">
        <v>55</v>
      </c>
      <c r="L92">
        <v>4800</v>
      </c>
      <c r="M92">
        <v>45</v>
      </c>
      <c r="N92">
        <v>50</v>
      </c>
      <c r="O92" t="s">
        <v>9</v>
      </c>
      <c r="P92">
        <f t="shared" si="6"/>
        <v>1</v>
      </c>
      <c r="Q92" t="s">
        <v>1</v>
      </c>
      <c r="R92">
        <f t="shared" si="7"/>
        <v>0</v>
      </c>
      <c r="S92" t="s">
        <v>2</v>
      </c>
      <c r="T92">
        <f t="shared" si="8"/>
        <v>0</v>
      </c>
      <c r="U92" t="s">
        <v>6</v>
      </c>
      <c r="V92">
        <f t="shared" si="9"/>
        <v>0</v>
      </c>
      <c r="W92">
        <f t="shared" si="10"/>
        <v>1</v>
      </c>
      <c r="X92" t="s">
        <v>4</v>
      </c>
      <c r="Y92">
        <f t="shared" si="11"/>
        <v>0</v>
      </c>
      <c r="Z92">
        <v>7099</v>
      </c>
    </row>
    <row r="93" spans="1:26">
      <c r="A93">
        <v>1</v>
      </c>
      <c r="B93" s="214">
        <v>94.5</v>
      </c>
      <c r="C93" s="214">
        <v>165.3</v>
      </c>
      <c r="D93" s="214">
        <v>63.8</v>
      </c>
      <c r="E93" s="216">
        <v>54.5</v>
      </c>
      <c r="F93" s="214">
        <v>1918</v>
      </c>
      <c r="G93">
        <v>97</v>
      </c>
      <c r="H93">
        <v>3.15</v>
      </c>
      <c r="I93">
        <v>3.29</v>
      </c>
      <c r="J93" s="214">
        <v>9.4</v>
      </c>
      <c r="K93" s="214">
        <v>69</v>
      </c>
      <c r="L93">
        <v>5200</v>
      </c>
      <c r="M93">
        <v>31</v>
      </c>
      <c r="N93">
        <v>37</v>
      </c>
      <c r="O93" t="s">
        <v>0</v>
      </c>
      <c r="P93">
        <f t="shared" si="6"/>
        <v>0</v>
      </c>
      <c r="Q93" t="s">
        <v>1</v>
      </c>
      <c r="R93">
        <f t="shared" si="7"/>
        <v>0</v>
      </c>
      <c r="S93" t="s">
        <v>2</v>
      </c>
      <c r="T93">
        <f t="shared" si="8"/>
        <v>0</v>
      </c>
      <c r="U93" t="s">
        <v>6</v>
      </c>
      <c r="V93">
        <f t="shared" si="9"/>
        <v>0</v>
      </c>
      <c r="W93">
        <f t="shared" si="10"/>
        <v>1</v>
      </c>
      <c r="X93" t="s">
        <v>4</v>
      </c>
      <c r="Y93">
        <f t="shared" si="11"/>
        <v>0</v>
      </c>
      <c r="Z93">
        <v>6649</v>
      </c>
    </row>
    <row r="94" spans="1:26">
      <c r="A94">
        <v>1</v>
      </c>
      <c r="B94" s="214">
        <v>94.5</v>
      </c>
      <c r="C94" s="214">
        <v>165.3</v>
      </c>
      <c r="D94" s="214">
        <v>63.8</v>
      </c>
      <c r="E94" s="216">
        <v>54.5</v>
      </c>
      <c r="F94" s="214">
        <v>1938</v>
      </c>
      <c r="G94">
        <v>97</v>
      </c>
      <c r="H94">
        <v>3.15</v>
      </c>
      <c r="I94">
        <v>3.29</v>
      </c>
      <c r="J94" s="214">
        <v>9.4</v>
      </c>
      <c r="K94" s="214">
        <v>69</v>
      </c>
      <c r="L94">
        <v>5200</v>
      </c>
      <c r="M94">
        <v>31</v>
      </c>
      <c r="N94">
        <v>37</v>
      </c>
      <c r="O94" t="s">
        <v>0</v>
      </c>
      <c r="P94">
        <f t="shared" si="6"/>
        <v>0</v>
      </c>
      <c r="Q94" t="s">
        <v>1</v>
      </c>
      <c r="R94">
        <f t="shared" si="7"/>
        <v>0</v>
      </c>
      <c r="S94" t="s">
        <v>5</v>
      </c>
      <c r="T94">
        <f t="shared" si="8"/>
        <v>1</v>
      </c>
      <c r="U94" t="s">
        <v>6</v>
      </c>
      <c r="V94">
        <f t="shared" si="9"/>
        <v>0</v>
      </c>
      <c r="W94">
        <f t="shared" si="10"/>
        <v>1</v>
      </c>
      <c r="X94" t="s">
        <v>4</v>
      </c>
      <c r="Y94">
        <f t="shared" si="11"/>
        <v>0</v>
      </c>
      <c r="Z94">
        <v>6849</v>
      </c>
    </row>
    <row r="95" spans="1:26">
      <c r="A95">
        <v>1</v>
      </c>
      <c r="B95" s="214">
        <v>94.5</v>
      </c>
      <c r="C95" s="214">
        <v>170.2</v>
      </c>
      <c r="D95" s="214">
        <v>63.8</v>
      </c>
      <c r="E95" s="216">
        <v>53.5</v>
      </c>
      <c r="F95" s="214">
        <v>2024</v>
      </c>
      <c r="G95">
        <v>97</v>
      </c>
      <c r="H95">
        <v>3.15</v>
      </c>
      <c r="I95">
        <v>3.29</v>
      </c>
      <c r="J95" s="214">
        <v>9.4</v>
      </c>
      <c r="K95" s="214">
        <v>69</v>
      </c>
      <c r="L95">
        <v>5200</v>
      </c>
      <c r="M95">
        <v>31</v>
      </c>
      <c r="N95">
        <v>37</v>
      </c>
      <c r="O95" t="s">
        <v>0</v>
      </c>
      <c r="P95">
        <f t="shared" si="6"/>
        <v>0</v>
      </c>
      <c r="Q95" t="s">
        <v>1</v>
      </c>
      <c r="R95">
        <f t="shared" si="7"/>
        <v>0</v>
      </c>
      <c r="S95" t="s">
        <v>5</v>
      </c>
      <c r="T95">
        <f t="shared" si="8"/>
        <v>1</v>
      </c>
      <c r="U95" t="s">
        <v>6</v>
      </c>
      <c r="V95">
        <f t="shared" si="9"/>
        <v>0</v>
      </c>
      <c r="W95">
        <f t="shared" si="10"/>
        <v>1</v>
      </c>
      <c r="X95" t="s">
        <v>4</v>
      </c>
      <c r="Y95">
        <f t="shared" si="11"/>
        <v>0</v>
      </c>
      <c r="Z95">
        <v>7349</v>
      </c>
    </row>
    <row r="96" spans="1:26">
      <c r="A96">
        <v>1</v>
      </c>
      <c r="B96" s="214">
        <v>94.5</v>
      </c>
      <c r="C96" s="214">
        <v>165.3</v>
      </c>
      <c r="D96" s="214">
        <v>63.8</v>
      </c>
      <c r="E96" s="216">
        <v>54.5</v>
      </c>
      <c r="F96" s="214">
        <v>1951</v>
      </c>
      <c r="G96">
        <v>97</v>
      </c>
      <c r="H96">
        <v>3.15</v>
      </c>
      <c r="I96">
        <v>3.29</v>
      </c>
      <c r="J96" s="214">
        <v>9.4</v>
      </c>
      <c r="K96" s="214">
        <v>69</v>
      </c>
      <c r="L96">
        <v>5200</v>
      </c>
      <c r="M96">
        <v>31</v>
      </c>
      <c r="N96">
        <v>37</v>
      </c>
      <c r="O96" t="s">
        <v>0</v>
      </c>
      <c r="P96">
        <f t="shared" si="6"/>
        <v>0</v>
      </c>
      <c r="Q96" t="s">
        <v>1</v>
      </c>
      <c r="R96">
        <f t="shared" si="7"/>
        <v>0</v>
      </c>
      <c r="S96" t="s">
        <v>2</v>
      </c>
      <c r="T96">
        <f t="shared" si="8"/>
        <v>0</v>
      </c>
      <c r="U96" t="s">
        <v>6</v>
      </c>
      <c r="V96">
        <f t="shared" si="9"/>
        <v>0</v>
      </c>
      <c r="W96">
        <f t="shared" si="10"/>
        <v>1</v>
      </c>
      <c r="X96" t="s">
        <v>4</v>
      </c>
      <c r="Y96">
        <f t="shared" si="11"/>
        <v>0</v>
      </c>
      <c r="Z96">
        <v>7299</v>
      </c>
    </row>
    <row r="97" spans="1:26">
      <c r="A97">
        <v>1</v>
      </c>
      <c r="B97" s="214">
        <v>94.5</v>
      </c>
      <c r="C97" s="214">
        <v>165.6</v>
      </c>
      <c r="D97" s="214">
        <v>63.8</v>
      </c>
      <c r="E97" s="216">
        <v>53.3</v>
      </c>
      <c r="F97" s="214">
        <v>2028</v>
      </c>
      <c r="G97">
        <v>97</v>
      </c>
      <c r="H97">
        <v>3.15</v>
      </c>
      <c r="I97">
        <v>3.29</v>
      </c>
      <c r="J97" s="214">
        <v>9.4</v>
      </c>
      <c r="K97" s="214">
        <v>69</v>
      </c>
      <c r="L97">
        <v>5200</v>
      </c>
      <c r="M97">
        <v>31</v>
      </c>
      <c r="N97">
        <v>37</v>
      </c>
      <c r="O97" t="s">
        <v>0</v>
      </c>
      <c r="P97">
        <f t="shared" si="6"/>
        <v>0</v>
      </c>
      <c r="Q97" t="s">
        <v>1</v>
      </c>
      <c r="R97">
        <f t="shared" si="7"/>
        <v>0</v>
      </c>
      <c r="S97" t="s">
        <v>2</v>
      </c>
      <c r="T97">
        <f t="shared" si="8"/>
        <v>0</v>
      </c>
      <c r="U97" t="s">
        <v>6</v>
      </c>
      <c r="V97">
        <f t="shared" si="9"/>
        <v>0</v>
      </c>
      <c r="W97">
        <f t="shared" si="10"/>
        <v>1</v>
      </c>
      <c r="X97" t="s">
        <v>4</v>
      </c>
      <c r="Y97">
        <f t="shared" si="11"/>
        <v>0</v>
      </c>
      <c r="Z97">
        <v>7799</v>
      </c>
    </row>
    <row r="98" spans="1:26">
      <c r="A98">
        <v>1</v>
      </c>
      <c r="B98" s="214">
        <v>94.5</v>
      </c>
      <c r="C98" s="214">
        <v>165.3</v>
      </c>
      <c r="D98" s="214">
        <v>63.8</v>
      </c>
      <c r="E98" s="216">
        <v>54.5</v>
      </c>
      <c r="F98" s="214">
        <v>1971</v>
      </c>
      <c r="G98">
        <v>97</v>
      </c>
      <c r="H98">
        <v>3.15</v>
      </c>
      <c r="I98">
        <v>3.29</v>
      </c>
      <c r="J98" s="214">
        <v>9.4</v>
      </c>
      <c r="K98" s="214">
        <v>69</v>
      </c>
      <c r="L98">
        <v>5200</v>
      </c>
      <c r="M98">
        <v>31</v>
      </c>
      <c r="N98">
        <v>37</v>
      </c>
      <c r="O98" t="s">
        <v>0</v>
      </c>
      <c r="P98">
        <f t="shared" si="6"/>
        <v>0</v>
      </c>
      <c r="Q98" t="s">
        <v>1</v>
      </c>
      <c r="R98">
        <f t="shared" si="7"/>
        <v>0</v>
      </c>
      <c r="S98" t="s">
        <v>5</v>
      </c>
      <c r="T98">
        <f t="shared" si="8"/>
        <v>1</v>
      </c>
      <c r="U98" t="s">
        <v>6</v>
      </c>
      <c r="V98">
        <f t="shared" si="9"/>
        <v>0</v>
      </c>
      <c r="W98">
        <f t="shared" si="10"/>
        <v>1</v>
      </c>
      <c r="X98" t="s">
        <v>4</v>
      </c>
      <c r="Y98">
        <f t="shared" si="11"/>
        <v>0</v>
      </c>
      <c r="Z98">
        <v>7499</v>
      </c>
    </row>
    <row r="99" spans="1:26">
      <c r="A99">
        <v>1</v>
      </c>
      <c r="B99" s="214">
        <v>94.5</v>
      </c>
      <c r="C99" s="214">
        <v>170.2</v>
      </c>
      <c r="D99" s="214">
        <v>63.8</v>
      </c>
      <c r="E99" s="216">
        <v>53.5</v>
      </c>
      <c r="F99" s="214">
        <v>2037</v>
      </c>
      <c r="G99">
        <v>97</v>
      </c>
      <c r="H99">
        <v>3.15</v>
      </c>
      <c r="I99">
        <v>3.29</v>
      </c>
      <c r="J99" s="214">
        <v>9.4</v>
      </c>
      <c r="K99" s="214">
        <v>69</v>
      </c>
      <c r="L99">
        <v>5200</v>
      </c>
      <c r="M99">
        <v>31</v>
      </c>
      <c r="N99">
        <v>37</v>
      </c>
      <c r="O99" t="s">
        <v>0</v>
      </c>
      <c r="P99">
        <f t="shared" si="6"/>
        <v>0</v>
      </c>
      <c r="Q99" t="s">
        <v>1</v>
      </c>
      <c r="R99">
        <f t="shared" si="7"/>
        <v>0</v>
      </c>
      <c r="S99" t="s">
        <v>5</v>
      </c>
      <c r="T99">
        <f t="shared" si="8"/>
        <v>1</v>
      </c>
      <c r="U99" t="s">
        <v>6</v>
      </c>
      <c r="V99">
        <f t="shared" si="9"/>
        <v>0</v>
      </c>
      <c r="W99">
        <f t="shared" si="10"/>
        <v>1</v>
      </c>
      <c r="X99" t="s">
        <v>4</v>
      </c>
      <c r="Y99">
        <f t="shared" si="11"/>
        <v>0</v>
      </c>
      <c r="Z99">
        <v>7999</v>
      </c>
    </row>
    <row r="100" spans="1:26">
      <c r="A100">
        <v>2</v>
      </c>
      <c r="B100" s="214">
        <v>95.1</v>
      </c>
      <c r="C100" s="214">
        <v>162.4</v>
      </c>
      <c r="D100" s="214">
        <v>63.8</v>
      </c>
      <c r="E100" s="216">
        <v>53.3</v>
      </c>
      <c r="F100" s="214">
        <v>2008</v>
      </c>
      <c r="G100">
        <v>97</v>
      </c>
      <c r="H100">
        <v>3.15</v>
      </c>
      <c r="I100">
        <v>3.29</v>
      </c>
      <c r="J100" s="214">
        <v>9.4</v>
      </c>
      <c r="K100" s="214">
        <v>69</v>
      </c>
      <c r="L100">
        <v>5200</v>
      </c>
      <c r="M100">
        <v>31</v>
      </c>
      <c r="N100">
        <v>37</v>
      </c>
      <c r="O100" t="s">
        <v>0</v>
      </c>
      <c r="P100">
        <f t="shared" si="6"/>
        <v>0</v>
      </c>
      <c r="Q100" t="s">
        <v>1</v>
      </c>
      <c r="R100">
        <f t="shared" si="7"/>
        <v>0</v>
      </c>
      <c r="S100" t="s">
        <v>2</v>
      </c>
      <c r="T100">
        <f t="shared" si="8"/>
        <v>0</v>
      </c>
      <c r="U100" t="s">
        <v>6</v>
      </c>
      <c r="V100">
        <f t="shared" si="9"/>
        <v>0</v>
      </c>
      <c r="W100">
        <f t="shared" si="10"/>
        <v>1</v>
      </c>
      <c r="X100" t="s">
        <v>4</v>
      </c>
      <c r="Y100">
        <f t="shared" si="11"/>
        <v>0</v>
      </c>
      <c r="Z100">
        <v>8249</v>
      </c>
    </row>
    <row r="101" spans="1:26">
      <c r="A101">
        <v>0</v>
      </c>
      <c r="B101" s="214">
        <v>97.2</v>
      </c>
      <c r="C101" s="214">
        <v>173.4</v>
      </c>
      <c r="D101" s="214">
        <v>65.2</v>
      </c>
      <c r="E101" s="216">
        <v>54.7</v>
      </c>
      <c r="F101" s="214">
        <v>2324</v>
      </c>
      <c r="G101">
        <v>120</v>
      </c>
      <c r="H101">
        <v>3.33</v>
      </c>
      <c r="I101">
        <v>3.47</v>
      </c>
      <c r="J101" s="214">
        <v>8.5</v>
      </c>
      <c r="K101" s="214">
        <v>97</v>
      </c>
      <c r="L101">
        <v>5200</v>
      </c>
      <c r="M101">
        <v>27</v>
      </c>
      <c r="N101">
        <v>34</v>
      </c>
      <c r="O101" t="s">
        <v>0</v>
      </c>
      <c r="P101">
        <f t="shared" si="6"/>
        <v>0</v>
      </c>
      <c r="Q101" t="s">
        <v>1</v>
      </c>
      <c r="R101">
        <f t="shared" si="7"/>
        <v>0</v>
      </c>
      <c r="S101" t="s">
        <v>5</v>
      </c>
      <c r="T101">
        <f t="shared" si="8"/>
        <v>1</v>
      </c>
      <c r="U101" t="s">
        <v>6</v>
      </c>
      <c r="V101">
        <f t="shared" si="9"/>
        <v>0</v>
      </c>
      <c r="W101">
        <f t="shared" si="10"/>
        <v>1</v>
      </c>
      <c r="X101" t="s">
        <v>4</v>
      </c>
      <c r="Y101">
        <f t="shared" si="11"/>
        <v>0</v>
      </c>
      <c r="Z101">
        <v>8949</v>
      </c>
    </row>
    <row r="102" spans="1:26">
      <c r="A102">
        <v>0</v>
      </c>
      <c r="B102" s="214">
        <v>97.2</v>
      </c>
      <c r="C102" s="214">
        <v>173.4</v>
      </c>
      <c r="D102" s="214">
        <v>65.2</v>
      </c>
      <c r="E102" s="216">
        <v>54.7</v>
      </c>
      <c r="F102" s="214">
        <v>2302</v>
      </c>
      <c r="G102">
        <v>120</v>
      </c>
      <c r="H102">
        <v>3.33</v>
      </c>
      <c r="I102">
        <v>3.47</v>
      </c>
      <c r="J102" s="214">
        <v>8.5</v>
      </c>
      <c r="K102" s="214">
        <v>97</v>
      </c>
      <c r="L102">
        <v>5200</v>
      </c>
      <c r="M102">
        <v>27</v>
      </c>
      <c r="N102">
        <v>34</v>
      </c>
      <c r="O102" t="s">
        <v>0</v>
      </c>
      <c r="P102">
        <f t="shared" si="6"/>
        <v>0</v>
      </c>
      <c r="Q102" t="s">
        <v>1</v>
      </c>
      <c r="R102">
        <f t="shared" si="7"/>
        <v>0</v>
      </c>
      <c r="S102" t="s">
        <v>5</v>
      </c>
      <c r="T102">
        <f t="shared" si="8"/>
        <v>1</v>
      </c>
      <c r="U102" t="s">
        <v>6</v>
      </c>
      <c r="V102">
        <f t="shared" si="9"/>
        <v>0</v>
      </c>
      <c r="W102">
        <f t="shared" si="10"/>
        <v>1</v>
      </c>
      <c r="X102" t="s">
        <v>4</v>
      </c>
      <c r="Y102">
        <f t="shared" si="11"/>
        <v>0</v>
      </c>
      <c r="Z102">
        <v>9549</v>
      </c>
    </row>
    <row r="103" spans="1:26">
      <c r="A103">
        <v>0</v>
      </c>
      <c r="B103" s="214">
        <v>100.4</v>
      </c>
      <c r="C103" s="214">
        <v>181.7</v>
      </c>
      <c r="D103" s="214">
        <v>66.5</v>
      </c>
      <c r="E103" s="216">
        <v>55.1</v>
      </c>
      <c r="F103" s="214">
        <v>3095</v>
      </c>
      <c r="G103">
        <v>181</v>
      </c>
      <c r="H103">
        <v>3.43</v>
      </c>
      <c r="I103">
        <v>3.27</v>
      </c>
      <c r="J103" s="214">
        <v>9</v>
      </c>
      <c r="K103" s="214">
        <v>152</v>
      </c>
      <c r="L103">
        <v>5200</v>
      </c>
      <c r="M103">
        <v>17</v>
      </c>
      <c r="N103">
        <v>22</v>
      </c>
      <c r="O103" t="s">
        <v>0</v>
      </c>
      <c r="P103">
        <f t="shared" si="6"/>
        <v>0</v>
      </c>
      <c r="Q103" t="s">
        <v>1</v>
      </c>
      <c r="R103">
        <f t="shared" si="7"/>
        <v>0</v>
      </c>
      <c r="S103" t="s">
        <v>5</v>
      </c>
      <c r="T103">
        <f t="shared" si="8"/>
        <v>1</v>
      </c>
      <c r="U103" t="s">
        <v>6</v>
      </c>
      <c r="V103">
        <f t="shared" si="9"/>
        <v>0</v>
      </c>
      <c r="W103">
        <f t="shared" si="10"/>
        <v>1</v>
      </c>
      <c r="X103" t="s">
        <v>4</v>
      </c>
      <c r="Y103">
        <f t="shared" si="11"/>
        <v>0</v>
      </c>
      <c r="Z103">
        <v>13499</v>
      </c>
    </row>
    <row r="104" spans="1:26">
      <c r="A104">
        <v>0</v>
      </c>
      <c r="B104" s="214">
        <v>100.4</v>
      </c>
      <c r="C104" s="214">
        <v>184.6</v>
      </c>
      <c r="D104" s="214">
        <v>66.5</v>
      </c>
      <c r="E104" s="216">
        <v>56.1</v>
      </c>
      <c r="F104" s="214">
        <v>3296</v>
      </c>
      <c r="G104">
        <v>181</v>
      </c>
      <c r="H104">
        <v>3.43</v>
      </c>
      <c r="I104">
        <v>3.27</v>
      </c>
      <c r="J104" s="214">
        <v>9</v>
      </c>
      <c r="K104" s="214">
        <v>152</v>
      </c>
      <c r="L104">
        <v>5200</v>
      </c>
      <c r="M104">
        <v>17</v>
      </c>
      <c r="N104">
        <v>22</v>
      </c>
      <c r="O104" t="s">
        <v>0</v>
      </c>
      <c r="P104">
        <f t="shared" si="6"/>
        <v>0</v>
      </c>
      <c r="Q104" t="s">
        <v>1</v>
      </c>
      <c r="R104">
        <f t="shared" si="7"/>
        <v>0</v>
      </c>
      <c r="S104" t="s">
        <v>5</v>
      </c>
      <c r="T104">
        <f t="shared" si="8"/>
        <v>1</v>
      </c>
      <c r="U104" t="s">
        <v>6</v>
      </c>
      <c r="V104">
        <f t="shared" si="9"/>
        <v>0</v>
      </c>
      <c r="W104">
        <f t="shared" si="10"/>
        <v>1</v>
      </c>
      <c r="X104" t="s">
        <v>4</v>
      </c>
      <c r="Y104">
        <f t="shared" si="11"/>
        <v>0</v>
      </c>
      <c r="Z104">
        <v>14399</v>
      </c>
    </row>
    <row r="105" spans="1:26">
      <c r="A105">
        <v>0</v>
      </c>
      <c r="B105" s="214">
        <v>100.4</v>
      </c>
      <c r="C105" s="214">
        <v>184.6</v>
      </c>
      <c r="D105" s="214">
        <v>66.5</v>
      </c>
      <c r="E105" s="216">
        <v>55.1</v>
      </c>
      <c r="F105" s="214">
        <v>3060</v>
      </c>
      <c r="G105">
        <v>181</v>
      </c>
      <c r="H105">
        <v>3.43</v>
      </c>
      <c r="I105">
        <v>3.27</v>
      </c>
      <c r="J105" s="214">
        <v>9</v>
      </c>
      <c r="K105" s="214">
        <v>152</v>
      </c>
      <c r="L105">
        <v>5200</v>
      </c>
      <c r="M105">
        <v>19</v>
      </c>
      <c r="N105">
        <v>25</v>
      </c>
      <c r="O105" t="s">
        <v>0</v>
      </c>
      <c r="P105">
        <f t="shared" si="6"/>
        <v>0</v>
      </c>
      <c r="Q105" t="s">
        <v>1</v>
      </c>
      <c r="R105">
        <f t="shared" si="7"/>
        <v>0</v>
      </c>
      <c r="S105" t="s">
        <v>5</v>
      </c>
      <c r="T105">
        <f t="shared" si="8"/>
        <v>1</v>
      </c>
      <c r="U105" t="s">
        <v>6</v>
      </c>
      <c r="V105">
        <f t="shared" si="9"/>
        <v>0</v>
      </c>
      <c r="W105">
        <f t="shared" si="10"/>
        <v>1</v>
      </c>
      <c r="X105" t="s">
        <v>4</v>
      </c>
      <c r="Y105">
        <f t="shared" si="11"/>
        <v>0</v>
      </c>
      <c r="Z105">
        <v>13499</v>
      </c>
    </row>
    <row r="106" spans="1:26">
      <c r="A106">
        <v>3</v>
      </c>
      <c r="B106" s="214">
        <v>91.3</v>
      </c>
      <c r="C106" s="214">
        <v>170.7</v>
      </c>
      <c r="D106" s="214">
        <v>67.900000000000006</v>
      </c>
      <c r="E106" s="216">
        <v>49.7</v>
      </c>
      <c r="F106" s="214">
        <v>3071</v>
      </c>
      <c r="G106">
        <v>181</v>
      </c>
      <c r="H106">
        <v>3.43</v>
      </c>
      <c r="I106">
        <v>3.27</v>
      </c>
      <c r="J106" s="214">
        <v>9</v>
      </c>
      <c r="K106" s="214">
        <v>160</v>
      </c>
      <c r="L106">
        <v>5200</v>
      </c>
      <c r="M106">
        <v>19</v>
      </c>
      <c r="N106">
        <v>25</v>
      </c>
      <c r="O106" t="s">
        <v>0</v>
      </c>
      <c r="P106">
        <f t="shared" si="6"/>
        <v>0</v>
      </c>
      <c r="Q106" t="s">
        <v>1</v>
      </c>
      <c r="R106">
        <f t="shared" si="7"/>
        <v>0</v>
      </c>
      <c r="S106" t="s">
        <v>2</v>
      </c>
      <c r="T106">
        <f t="shared" si="8"/>
        <v>0</v>
      </c>
      <c r="U106" t="s">
        <v>3</v>
      </c>
      <c r="V106">
        <f t="shared" si="9"/>
        <v>0</v>
      </c>
      <c r="W106">
        <f t="shared" si="10"/>
        <v>0</v>
      </c>
      <c r="X106" t="s">
        <v>4</v>
      </c>
      <c r="Y106">
        <f t="shared" si="11"/>
        <v>0</v>
      </c>
      <c r="Z106">
        <v>17199</v>
      </c>
    </row>
    <row r="107" spans="1:26">
      <c r="A107">
        <v>3</v>
      </c>
      <c r="B107" s="214">
        <v>91.3</v>
      </c>
      <c r="C107" s="214">
        <v>170.7</v>
      </c>
      <c r="D107" s="214">
        <v>67.900000000000006</v>
      </c>
      <c r="E107" s="216">
        <v>49.7</v>
      </c>
      <c r="F107" s="214">
        <v>3139</v>
      </c>
      <c r="G107">
        <v>181</v>
      </c>
      <c r="H107">
        <v>3.43</v>
      </c>
      <c r="I107">
        <v>3.27</v>
      </c>
      <c r="J107" s="214">
        <v>7.8</v>
      </c>
      <c r="K107" s="214">
        <v>200</v>
      </c>
      <c r="L107">
        <v>5200</v>
      </c>
      <c r="M107">
        <v>17</v>
      </c>
      <c r="N107">
        <v>23</v>
      </c>
      <c r="O107" t="s">
        <v>0</v>
      </c>
      <c r="P107">
        <f t="shared" si="6"/>
        <v>0</v>
      </c>
      <c r="Q107" t="s">
        <v>8</v>
      </c>
      <c r="R107">
        <f t="shared" si="7"/>
        <v>1</v>
      </c>
      <c r="S107" t="s">
        <v>2</v>
      </c>
      <c r="T107">
        <f t="shared" si="8"/>
        <v>0</v>
      </c>
      <c r="U107" t="s">
        <v>3</v>
      </c>
      <c r="V107">
        <f t="shared" si="9"/>
        <v>0</v>
      </c>
      <c r="W107">
        <f t="shared" si="10"/>
        <v>0</v>
      </c>
      <c r="X107" t="s">
        <v>4</v>
      </c>
      <c r="Y107">
        <f t="shared" si="11"/>
        <v>0</v>
      </c>
      <c r="Z107">
        <v>19699</v>
      </c>
    </row>
    <row r="108" spans="1:26">
      <c r="A108">
        <v>1</v>
      </c>
      <c r="B108" s="214">
        <v>99.2</v>
      </c>
      <c r="C108" s="214">
        <v>178.5</v>
      </c>
      <c r="D108" s="214">
        <v>67.900000000000006</v>
      </c>
      <c r="E108" s="216">
        <v>49.7</v>
      </c>
      <c r="F108" s="214">
        <v>3139</v>
      </c>
      <c r="G108">
        <v>181</v>
      </c>
      <c r="H108">
        <v>3.43</v>
      </c>
      <c r="I108">
        <v>3.27</v>
      </c>
      <c r="J108" s="214">
        <v>9</v>
      </c>
      <c r="K108" s="214">
        <v>160</v>
      </c>
      <c r="L108">
        <v>5200</v>
      </c>
      <c r="M108">
        <v>19</v>
      </c>
      <c r="N108">
        <v>25</v>
      </c>
      <c r="O108" t="s">
        <v>0</v>
      </c>
      <c r="P108">
        <f t="shared" si="6"/>
        <v>0</v>
      </c>
      <c r="Q108" t="s">
        <v>1</v>
      </c>
      <c r="R108">
        <f t="shared" si="7"/>
        <v>0</v>
      </c>
      <c r="S108" t="s">
        <v>2</v>
      </c>
      <c r="T108">
        <f t="shared" si="8"/>
        <v>0</v>
      </c>
      <c r="U108" t="s">
        <v>3</v>
      </c>
      <c r="V108">
        <f t="shared" si="9"/>
        <v>0</v>
      </c>
      <c r="W108">
        <f t="shared" si="10"/>
        <v>0</v>
      </c>
      <c r="X108" t="s">
        <v>4</v>
      </c>
      <c r="Y108">
        <f t="shared" si="11"/>
        <v>0</v>
      </c>
      <c r="Z108">
        <v>18399</v>
      </c>
    </row>
    <row r="109" spans="1:26">
      <c r="A109">
        <v>0</v>
      </c>
      <c r="B109" s="214">
        <v>107.9</v>
      </c>
      <c r="C109" s="214">
        <v>186.7</v>
      </c>
      <c r="D109" s="214">
        <v>68.400000000000006</v>
      </c>
      <c r="E109" s="216">
        <v>56.7</v>
      </c>
      <c r="F109" s="214">
        <v>3020</v>
      </c>
      <c r="G109">
        <v>120</v>
      </c>
      <c r="H109">
        <v>3.46</v>
      </c>
      <c r="I109">
        <v>3.19</v>
      </c>
      <c r="J109" s="214">
        <v>8.4</v>
      </c>
      <c r="K109" s="214">
        <v>97</v>
      </c>
      <c r="L109">
        <v>5000</v>
      </c>
      <c r="M109">
        <v>19</v>
      </c>
      <c r="N109">
        <v>24</v>
      </c>
      <c r="O109" t="s">
        <v>0</v>
      </c>
      <c r="P109">
        <f t="shared" si="6"/>
        <v>0</v>
      </c>
      <c r="Q109" t="s">
        <v>1</v>
      </c>
      <c r="R109">
        <f t="shared" si="7"/>
        <v>0</v>
      </c>
      <c r="S109" t="s">
        <v>5</v>
      </c>
      <c r="T109">
        <f t="shared" si="8"/>
        <v>1</v>
      </c>
      <c r="U109" t="s">
        <v>3</v>
      </c>
      <c r="V109">
        <f t="shared" si="9"/>
        <v>0</v>
      </c>
      <c r="W109">
        <f t="shared" si="10"/>
        <v>0</v>
      </c>
      <c r="X109" t="s">
        <v>4</v>
      </c>
      <c r="Y109">
        <f t="shared" si="11"/>
        <v>0</v>
      </c>
      <c r="Z109">
        <v>11900</v>
      </c>
    </row>
    <row r="110" spans="1:26">
      <c r="A110">
        <v>0</v>
      </c>
      <c r="B110" s="214">
        <v>107.9</v>
      </c>
      <c r="C110" s="214">
        <v>186.7</v>
      </c>
      <c r="D110" s="214">
        <v>68.400000000000006</v>
      </c>
      <c r="E110" s="216">
        <v>56.7</v>
      </c>
      <c r="F110" s="214">
        <v>3197</v>
      </c>
      <c r="G110">
        <v>152</v>
      </c>
      <c r="H110">
        <v>3.7</v>
      </c>
      <c r="I110">
        <v>3.52</v>
      </c>
      <c r="J110" s="214">
        <v>21</v>
      </c>
      <c r="K110" s="214">
        <v>95</v>
      </c>
      <c r="L110">
        <v>4150</v>
      </c>
      <c r="M110">
        <v>28</v>
      </c>
      <c r="N110">
        <v>33</v>
      </c>
      <c r="O110" t="s">
        <v>9</v>
      </c>
      <c r="P110">
        <f t="shared" si="6"/>
        <v>1</v>
      </c>
      <c r="Q110" t="s">
        <v>8</v>
      </c>
      <c r="R110">
        <f t="shared" si="7"/>
        <v>1</v>
      </c>
      <c r="S110" t="s">
        <v>5</v>
      </c>
      <c r="T110">
        <f t="shared" si="8"/>
        <v>1</v>
      </c>
      <c r="U110" t="s">
        <v>3</v>
      </c>
      <c r="V110">
        <f t="shared" si="9"/>
        <v>0</v>
      </c>
      <c r="W110">
        <f t="shared" si="10"/>
        <v>0</v>
      </c>
      <c r="X110" t="s">
        <v>4</v>
      </c>
      <c r="Y110">
        <f t="shared" si="11"/>
        <v>0</v>
      </c>
      <c r="Z110">
        <v>13200</v>
      </c>
    </row>
    <row r="111" spans="1:26">
      <c r="A111">
        <v>0</v>
      </c>
      <c r="B111" s="214">
        <v>114.2</v>
      </c>
      <c r="C111" s="214">
        <v>198.9</v>
      </c>
      <c r="D111" s="214">
        <v>68.400000000000006</v>
      </c>
      <c r="E111" s="216">
        <v>58.7</v>
      </c>
      <c r="F111" s="214">
        <v>3230</v>
      </c>
      <c r="G111">
        <v>120</v>
      </c>
      <c r="H111">
        <v>3.46</v>
      </c>
      <c r="I111">
        <v>3.19</v>
      </c>
      <c r="J111" s="214">
        <v>8.4</v>
      </c>
      <c r="K111" s="214">
        <v>97</v>
      </c>
      <c r="L111">
        <v>5000</v>
      </c>
      <c r="M111">
        <v>19</v>
      </c>
      <c r="N111">
        <v>24</v>
      </c>
      <c r="O111" t="s">
        <v>0</v>
      </c>
      <c r="P111">
        <f t="shared" si="6"/>
        <v>0</v>
      </c>
      <c r="Q111" t="s">
        <v>1</v>
      </c>
      <c r="R111">
        <f t="shared" si="7"/>
        <v>0</v>
      </c>
      <c r="S111" t="s">
        <v>5</v>
      </c>
      <c r="T111">
        <f t="shared" si="8"/>
        <v>1</v>
      </c>
      <c r="U111" t="s">
        <v>3</v>
      </c>
      <c r="V111">
        <f t="shared" si="9"/>
        <v>0</v>
      </c>
      <c r="W111">
        <f t="shared" si="10"/>
        <v>0</v>
      </c>
      <c r="X111" t="s">
        <v>4</v>
      </c>
      <c r="Y111">
        <f t="shared" si="11"/>
        <v>0</v>
      </c>
      <c r="Z111">
        <v>12440</v>
      </c>
    </row>
    <row r="112" spans="1:26">
      <c r="A112">
        <v>0</v>
      </c>
      <c r="B112" s="214">
        <v>114.2</v>
      </c>
      <c r="C112" s="214">
        <v>198.9</v>
      </c>
      <c r="D112" s="214">
        <v>68.400000000000006</v>
      </c>
      <c r="E112" s="216">
        <v>58.7</v>
      </c>
      <c r="F112" s="214">
        <v>3430</v>
      </c>
      <c r="G112">
        <v>152</v>
      </c>
      <c r="H112">
        <v>3.7</v>
      </c>
      <c r="I112">
        <v>3.52</v>
      </c>
      <c r="J112" s="214">
        <v>21</v>
      </c>
      <c r="K112" s="214">
        <v>95</v>
      </c>
      <c r="L112">
        <v>4150</v>
      </c>
      <c r="M112">
        <v>25</v>
      </c>
      <c r="N112">
        <v>25</v>
      </c>
      <c r="O112" t="s">
        <v>9</v>
      </c>
      <c r="P112">
        <f t="shared" si="6"/>
        <v>1</v>
      </c>
      <c r="Q112" t="s">
        <v>8</v>
      </c>
      <c r="R112">
        <f t="shared" si="7"/>
        <v>1</v>
      </c>
      <c r="S112" t="s">
        <v>5</v>
      </c>
      <c r="T112">
        <f t="shared" si="8"/>
        <v>1</v>
      </c>
      <c r="U112" t="s">
        <v>3</v>
      </c>
      <c r="V112">
        <f t="shared" si="9"/>
        <v>0</v>
      </c>
      <c r="W112">
        <f t="shared" si="10"/>
        <v>0</v>
      </c>
      <c r="X112" t="s">
        <v>4</v>
      </c>
      <c r="Y112">
        <f t="shared" si="11"/>
        <v>0</v>
      </c>
      <c r="Z112">
        <v>13860</v>
      </c>
    </row>
    <row r="113" spans="1:26">
      <c r="A113">
        <v>0</v>
      </c>
      <c r="B113" s="214">
        <v>107.9</v>
      </c>
      <c r="C113" s="214">
        <v>186.7</v>
      </c>
      <c r="D113" s="214">
        <v>68.400000000000006</v>
      </c>
      <c r="E113" s="216">
        <v>56.7</v>
      </c>
      <c r="F113" s="214">
        <v>3075</v>
      </c>
      <c r="G113">
        <v>120</v>
      </c>
      <c r="H113">
        <v>3.46</v>
      </c>
      <c r="I113">
        <v>2.19</v>
      </c>
      <c r="J113" s="214">
        <v>8.4</v>
      </c>
      <c r="K113" s="214">
        <v>95</v>
      </c>
      <c r="L113">
        <v>5000</v>
      </c>
      <c r="M113">
        <v>19</v>
      </c>
      <c r="N113">
        <v>24</v>
      </c>
      <c r="O113" t="s">
        <v>0</v>
      </c>
      <c r="P113">
        <f t="shared" si="6"/>
        <v>0</v>
      </c>
      <c r="Q113" t="s">
        <v>1</v>
      </c>
      <c r="R113">
        <f t="shared" si="7"/>
        <v>0</v>
      </c>
      <c r="S113" t="s">
        <v>5</v>
      </c>
      <c r="T113">
        <f t="shared" si="8"/>
        <v>1</v>
      </c>
      <c r="U113" t="s">
        <v>3</v>
      </c>
      <c r="V113">
        <f t="shared" si="9"/>
        <v>0</v>
      </c>
      <c r="W113">
        <f t="shared" si="10"/>
        <v>0</v>
      </c>
      <c r="X113" t="s">
        <v>4</v>
      </c>
      <c r="Y113">
        <f t="shared" si="11"/>
        <v>0</v>
      </c>
      <c r="Z113">
        <v>15580</v>
      </c>
    </row>
    <row r="114" spans="1:26">
      <c r="A114">
        <v>0</v>
      </c>
      <c r="B114" s="214">
        <v>107.9</v>
      </c>
      <c r="C114" s="214">
        <v>186.7</v>
      </c>
      <c r="D114" s="214">
        <v>68.400000000000006</v>
      </c>
      <c r="E114" s="216">
        <v>56.7</v>
      </c>
      <c r="F114" s="214">
        <v>3252</v>
      </c>
      <c r="G114">
        <v>152</v>
      </c>
      <c r="H114">
        <v>3.7</v>
      </c>
      <c r="I114">
        <v>3.52</v>
      </c>
      <c r="J114" s="214">
        <v>21</v>
      </c>
      <c r="K114" s="214">
        <v>95</v>
      </c>
      <c r="L114">
        <v>4150</v>
      </c>
      <c r="M114">
        <v>28</v>
      </c>
      <c r="N114">
        <v>33</v>
      </c>
      <c r="O114" t="s">
        <v>9</v>
      </c>
      <c r="P114">
        <f t="shared" si="6"/>
        <v>1</v>
      </c>
      <c r="Q114" t="s">
        <v>8</v>
      </c>
      <c r="R114">
        <f t="shared" si="7"/>
        <v>1</v>
      </c>
      <c r="S114" t="s">
        <v>5</v>
      </c>
      <c r="T114">
        <f t="shared" si="8"/>
        <v>1</v>
      </c>
      <c r="U114" t="s">
        <v>3</v>
      </c>
      <c r="V114">
        <f t="shared" si="9"/>
        <v>0</v>
      </c>
      <c r="W114">
        <f t="shared" si="10"/>
        <v>0</v>
      </c>
      <c r="X114" t="s">
        <v>4</v>
      </c>
      <c r="Y114">
        <f t="shared" si="11"/>
        <v>0</v>
      </c>
      <c r="Z114">
        <v>16900</v>
      </c>
    </row>
    <row r="115" spans="1:26">
      <c r="A115">
        <v>0</v>
      </c>
      <c r="B115" s="214">
        <v>114.2</v>
      </c>
      <c r="C115" s="214">
        <v>198.9</v>
      </c>
      <c r="D115" s="214">
        <v>68.400000000000006</v>
      </c>
      <c r="E115" s="216">
        <v>56.7</v>
      </c>
      <c r="F115" s="214">
        <v>3285</v>
      </c>
      <c r="G115">
        <v>120</v>
      </c>
      <c r="H115">
        <v>3.46</v>
      </c>
      <c r="I115">
        <v>2.19</v>
      </c>
      <c r="J115" s="214">
        <v>8.4</v>
      </c>
      <c r="K115" s="214">
        <v>95</v>
      </c>
      <c r="L115">
        <v>5000</v>
      </c>
      <c r="M115">
        <v>19</v>
      </c>
      <c r="N115">
        <v>24</v>
      </c>
      <c r="O115" t="s">
        <v>0</v>
      </c>
      <c r="P115">
        <f t="shared" si="6"/>
        <v>0</v>
      </c>
      <c r="Q115" t="s">
        <v>1</v>
      </c>
      <c r="R115">
        <f t="shared" si="7"/>
        <v>0</v>
      </c>
      <c r="S115" t="s">
        <v>5</v>
      </c>
      <c r="T115">
        <f t="shared" si="8"/>
        <v>1</v>
      </c>
      <c r="U115" t="s">
        <v>3</v>
      </c>
      <c r="V115">
        <f t="shared" si="9"/>
        <v>0</v>
      </c>
      <c r="W115">
        <f t="shared" si="10"/>
        <v>0</v>
      </c>
      <c r="X115" t="s">
        <v>4</v>
      </c>
      <c r="Y115">
        <f t="shared" si="11"/>
        <v>0</v>
      </c>
      <c r="Z115">
        <v>16695</v>
      </c>
    </row>
    <row r="116" spans="1:26">
      <c r="A116">
        <v>0</v>
      </c>
      <c r="B116" s="214">
        <v>114.2</v>
      </c>
      <c r="C116" s="214">
        <v>198.9</v>
      </c>
      <c r="D116" s="214">
        <v>68.400000000000006</v>
      </c>
      <c r="E116" s="216">
        <v>58.7</v>
      </c>
      <c r="F116" s="214">
        <v>3485</v>
      </c>
      <c r="G116">
        <v>152</v>
      </c>
      <c r="H116">
        <v>3.7</v>
      </c>
      <c r="I116">
        <v>3.52</v>
      </c>
      <c r="J116" s="214">
        <v>21</v>
      </c>
      <c r="K116" s="214">
        <v>95</v>
      </c>
      <c r="L116">
        <v>4150</v>
      </c>
      <c r="M116">
        <v>25</v>
      </c>
      <c r="N116">
        <v>25</v>
      </c>
      <c r="O116" t="s">
        <v>9</v>
      </c>
      <c r="P116">
        <f t="shared" si="6"/>
        <v>1</v>
      </c>
      <c r="Q116" t="s">
        <v>8</v>
      </c>
      <c r="R116">
        <f t="shared" si="7"/>
        <v>1</v>
      </c>
      <c r="S116" t="s">
        <v>5</v>
      </c>
      <c r="T116">
        <f t="shared" si="8"/>
        <v>1</v>
      </c>
      <c r="U116" t="s">
        <v>3</v>
      </c>
      <c r="V116">
        <f t="shared" si="9"/>
        <v>0</v>
      </c>
      <c r="W116">
        <f t="shared" si="10"/>
        <v>0</v>
      </c>
      <c r="X116" t="s">
        <v>4</v>
      </c>
      <c r="Y116">
        <f t="shared" si="11"/>
        <v>0</v>
      </c>
      <c r="Z116">
        <v>17075</v>
      </c>
    </row>
    <row r="117" spans="1:26">
      <c r="A117">
        <v>0</v>
      </c>
      <c r="B117" s="214">
        <v>107.9</v>
      </c>
      <c r="C117" s="214">
        <v>186.7</v>
      </c>
      <c r="D117" s="214">
        <v>68.400000000000006</v>
      </c>
      <c r="E117" s="216">
        <v>56.7</v>
      </c>
      <c r="F117" s="214">
        <v>3075</v>
      </c>
      <c r="G117">
        <v>120</v>
      </c>
      <c r="H117">
        <v>3.46</v>
      </c>
      <c r="I117">
        <v>3.19</v>
      </c>
      <c r="J117" s="214">
        <v>8.4</v>
      </c>
      <c r="K117" s="214">
        <v>97</v>
      </c>
      <c r="L117">
        <v>5000</v>
      </c>
      <c r="M117">
        <v>19</v>
      </c>
      <c r="N117">
        <v>24</v>
      </c>
      <c r="O117" t="s">
        <v>0</v>
      </c>
      <c r="P117">
        <f t="shared" si="6"/>
        <v>0</v>
      </c>
      <c r="Q117" t="s">
        <v>1</v>
      </c>
      <c r="R117">
        <f t="shared" si="7"/>
        <v>0</v>
      </c>
      <c r="S117" t="s">
        <v>5</v>
      </c>
      <c r="T117">
        <f t="shared" si="8"/>
        <v>1</v>
      </c>
      <c r="U117" t="s">
        <v>3</v>
      </c>
      <c r="V117">
        <f t="shared" si="9"/>
        <v>0</v>
      </c>
      <c r="W117">
        <f t="shared" si="10"/>
        <v>0</v>
      </c>
      <c r="X117" t="s">
        <v>4</v>
      </c>
      <c r="Y117">
        <f t="shared" si="11"/>
        <v>0</v>
      </c>
      <c r="Z117">
        <v>16630</v>
      </c>
    </row>
    <row r="118" spans="1:26">
      <c r="A118">
        <v>0</v>
      </c>
      <c r="B118" s="214">
        <v>107.9</v>
      </c>
      <c r="C118" s="214">
        <v>186.7</v>
      </c>
      <c r="D118" s="214">
        <v>68.400000000000006</v>
      </c>
      <c r="E118" s="216">
        <v>56.7</v>
      </c>
      <c r="F118" s="214">
        <v>3252</v>
      </c>
      <c r="G118">
        <v>152</v>
      </c>
      <c r="H118">
        <v>3.7</v>
      </c>
      <c r="I118">
        <v>3.52</v>
      </c>
      <c r="J118" s="214">
        <v>21</v>
      </c>
      <c r="K118" s="214">
        <v>95</v>
      </c>
      <c r="L118">
        <v>4150</v>
      </c>
      <c r="M118">
        <v>28</v>
      </c>
      <c r="N118">
        <v>33</v>
      </c>
      <c r="O118" t="s">
        <v>9</v>
      </c>
      <c r="P118">
        <f t="shared" si="6"/>
        <v>1</v>
      </c>
      <c r="Q118" t="s">
        <v>8</v>
      </c>
      <c r="R118">
        <f t="shared" si="7"/>
        <v>1</v>
      </c>
      <c r="S118" t="s">
        <v>5</v>
      </c>
      <c r="T118">
        <f t="shared" si="8"/>
        <v>1</v>
      </c>
      <c r="U118" t="s">
        <v>3</v>
      </c>
      <c r="V118">
        <f t="shared" si="9"/>
        <v>0</v>
      </c>
      <c r="W118">
        <f t="shared" si="10"/>
        <v>0</v>
      </c>
      <c r="X118" t="s">
        <v>4</v>
      </c>
      <c r="Y118">
        <f t="shared" si="11"/>
        <v>0</v>
      </c>
      <c r="Z118">
        <v>17950</v>
      </c>
    </row>
    <row r="119" spans="1:26">
      <c r="A119">
        <v>0</v>
      </c>
      <c r="B119" s="214">
        <v>108</v>
      </c>
      <c r="C119" s="214">
        <v>186.7</v>
      </c>
      <c r="D119" s="214">
        <v>68.3</v>
      </c>
      <c r="E119" s="216">
        <v>56</v>
      </c>
      <c r="F119" s="214">
        <v>3130</v>
      </c>
      <c r="G119">
        <v>134</v>
      </c>
      <c r="H119">
        <v>3.61</v>
      </c>
      <c r="I119">
        <v>3.21</v>
      </c>
      <c r="J119" s="214">
        <v>7</v>
      </c>
      <c r="K119" s="214">
        <v>142</v>
      </c>
      <c r="L119">
        <v>5600</v>
      </c>
      <c r="M119">
        <v>18</v>
      </c>
      <c r="N119">
        <v>24</v>
      </c>
      <c r="O119" t="s">
        <v>0</v>
      </c>
      <c r="P119">
        <f t="shared" si="6"/>
        <v>0</v>
      </c>
      <c r="Q119" t="s">
        <v>8</v>
      </c>
      <c r="R119">
        <f t="shared" si="7"/>
        <v>1</v>
      </c>
      <c r="S119" t="s">
        <v>5</v>
      </c>
      <c r="T119">
        <f t="shared" si="8"/>
        <v>1</v>
      </c>
      <c r="U119" t="s">
        <v>3</v>
      </c>
      <c r="V119">
        <f t="shared" si="9"/>
        <v>0</v>
      </c>
      <c r="W119">
        <f t="shared" si="10"/>
        <v>0</v>
      </c>
      <c r="X119" t="s">
        <v>4</v>
      </c>
      <c r="Y119">
        <f t="shared" si="11"/>
        <v>0</v>
      </c>
      <c r="Z119">
        <v>18150</v>
      </c>
    </row>
    <row r="120" spans="1:26">
      <c r="A120">
        <v>1</v>
      </c>
      <c r="B120" s="214">
        <v>93.7</v>
      </c>
      <c r="C120" s="214">
        <v>157.30000000000001</v>
      </c>
      <c r="D120" s="214">
        <v>63.8</v>
      </c>
      <c r="E120" s="216">
        <v>50.8</v>
      </c>
      <c r="F120" s="214">
        <v>1918</v>
      </c>
      <c r="G120">
        <v>90</v>
      </c>
      <c r="H120">
        <v>2.97</v>
      </c>
      <c r="I120">
        <v>3.23</v>
      </c>
      <c r="J120" s="214">
        <v>9.4</v>
      </c>
      <c r="K120" s="214">
        <v>68</v>
      </c>
      <c r="L120">
        <v>5500</v>
      </c>
      <c r="M120">
        <v>37</v>
      </c>
      <c r="N120">
        <v>41</v>
      </c>
      <c r="O120" t="s">
        <v>0</v>
      </c>
      <c r="P120">
        <f t="shared" si="6"/>
        <v>0</v>
      </c>
      <c r="Q120" t="s">
        <v>1</v>
      </c>
      <c r="R120">
        <f t="shared" si="7"/>
        <v>0</v>
      </c>
      <c r="S120" t="s">
        <v>2</v>
      </c>
      <c r="T120">
        <f t="shared" si="8"/>
        <v>0</v>
      </c>
      <c r="U120" t="s">
        <v>6</v>
      </c>
      <c r="V120">
        <f t="shared" si="9"/>
        <v>0</v>
      </c>
      <c r="W120">
        <f t="shared" si="10"/>
        <v>1</v>
      </c>
      <c r="X120" t="s">
        <v>4</v>
      </c>
      <c r="Y120">
        <f t="shared" si="11"/>
        <v>0</v>
      </c>
      <c r="Z120">
        <v>5572</v>
      </c>
    </row>
    <row r="121" spans="1:26">
      <c r="A121">
        <v>1</v>
      </c>
      <c r="B121" s="214">
        <v>93.7</v>
      </c>
      <c r="C121" s="214">
        <v>157.30000000000001</v>
      </c>
      <c r="D121" s="214">
        <v>63.8</v>
      </c>
      <c r="E121" s="216">
        <v>50.8</v>
      </c>
      <c r="F121" s="214">
        <v>2128</v>
      </c>
      <c r="G121">
        <v>98</v>
      </c>
      <c r="H121">
        <v>3.03</v>
      </c>
      <c r="I121">
        <v>3.39</v>
      </c>
      <c r="J121" s="214">
        <v>7.6</v>
      </c>
      <c r="K121" s="214">
        <v>102</v>
      </c>
      <c r="L121">
        <v>5500</v>
      </c>
      <c r="M121">
        <v>24</v>
      </c>
      <c r="N121">
        <v>30</v>
      </c>
      <c r="O121" t="s">
        <v>0</v>
      </c>
      <c r="P121">
        <f t="shared" si="6"/>
        <v>0</v>
      </c>
      <c r="Q121" t="s">
        <v>8</v>
      </c>
      <c r="R121">
        <f t="shared" si="7"/>
        <v>1</v>
      </c>
      <c r="S121" t="s">
        <v>2</v>
      </c>
      <c r="T121">
        <f t="shared" si="8"/>
        <v>0</v>
      </c>
      <c r="U121" t="s">
        <v>6</v>
      </c>
      <c r="V121">
        <f t="shared" si="9"/>
        <v>0</v>
      </c>
      <c r="W121">
        <f t="shared" si="10"/>
        <v>1</v>
      </c>
      <c r="X121" t="s">
        <v>4</v>
      </c>
      <c r="Y121">
        <f t="shared" si="11"/>
        <v>0</v>
      </c>
      <c r="Z121">
        <v>7957</v>
      </c>
    </row>
    <row r="122" spans="1:26">
      <c r="A122">
        <v>1</v>
      </c>
      <c r="B122" s="214">
        <v>93.7</v>
      </c>
      <c r="C122" s="214">
        <v>157.30000000000001</v>
      </c>
      <c r="D122" s="214">
        <v>63.8</v>
      </c>
      <c r="E122" s="216">
        <v>50.6</v>
      </c>
      <c r="F122" s="214">
        <v>1967</v>
      </c>
      <c r="G122">
        <v>90</v>
      </c>
      <c r="H122">
        <v>2.97</v>
      </c>
      <c r="I122">
        <v>3.23</v>
      </c>
      <c r="J122" s="214">
        <v>9.4</v>
      </c>
      <c r="K122" s="214">
        <v>68</v>
      </c>
      <c r="L122">
        <v>5500</v>
      </c>
      <c r="M122">
        <v>31</v>
      </c>
      <c r="N122">
        <v>38</v>
      </c>
      <c r="O122" t="s">
        <v>0</v>
      </c>
      <c r="P122">
        <f t="shared" si="6"/>
        <v>0</v>
      </c>
      <c r="Q122" t="s">
        <v>1</v>
      </c>
      <c r="R122">
        <f t="shared" si="7"/>
        <v>0</v>
      </c>
      <c r="S122" t="s">
        <v>5</v>
      </c>
      <c r="T122">
        <f t="shared" si="8"/>
        <v>1</v>
      </c>
      <c r="U122" t="s">
        <v>6</v>
      </c>
      <c r="V122">
        <f t="shared" si="9"/>
        <v>0</v>
      </c>
      <c r="W122">
        <f t="shared" si="10"/>
        <v>1</v>
      </c>
      <c r="X122" t="s">
        <v>4</v>
      </c>
      <c r="Y122">
        <f t="shared" si="11"/>
        <v>0</v>
      </c>
      <c r="Z122">
        <v>6229</v>
      </c>
    </row>
    <row r="123" spans="1:26">
      <c r="A123">
        <v>1</v>
      </c>
      <c r="B123" s="214">
        <v>93.7</v>
      </c>
      <c r="C123" s="214">
        <v>167.3</v>
      </c>
      <c r="D123" s="214">
        <v>63.8</v>
      </c>
      <c r="E123" s="216">
        <v>50.8</v>
      </c>
      <c r="F123" s="214">
        <v>1989</v>
      </c>
      <c r="G123">
        <v>90</v>
      </c>
      <c r="H123">
        <v>2.97</v>
      </c>
      <c r="I123">
        <v>3.23</v>
      </c>
      <c r="J123" s="214">
        <v>9.4</v>
      </c>
      <c r="K123" s="214">
        <v>68</v>
      </c>
      <c r="L123">
        <v>5500</v>
      </c>
      <c r="M123">
        <v>31</v>
      </c>
      <c r="N123">
        <v>38</v>
      </c>
      <c r="O123" t="s">
        <v>0</v>
      </c>
      <c r="P123">
        <f t="shared" si="6"/>
        <v>0</v>
      </c>
      <c r="Q123" t="s">
        <v>1</v>
      </c>
      <c r="R123">
        <f t="shared" si="7"/>
        <v>0</v>
      </c>
      <c r="S123" t="s">
        <v>5</v>
      </c>
      <c r="T123">
        <f t="shared" si="8"/>
        <v>1</v>
      </c>
      <c r="U123" t="s">
        <v>6</v>
      </c>
      <c r="V123">
        <f t="shared" si="9"/>
        <v>0</v>
      </c>
      <c r="W123">
        <f t="shared" si="10"/>
        <v>1</v>
      </c>
      <c r="X123" t="s">
        <v>4</v>
      </c>
      <c r="Y123">
        <f t="shared" si="11"/>
        <v>0</v>
      </c>
      <c r="Z123">
        <v>6692</v>
      </c>
    </row>
    <row r="124" spans="1:26">
      <c r="A124">
        <v>1</v>
      </c>
      <c r="B124" s="214">
        <v>93.7</v>
      </c>
      <c r="C124" s="214">
        <v>167.3</v>
      </c>
      <c r="D124" s="214">
        <v>63.8</v>
      </c>
      <c r="E124" s="216">
        <v>50.8</v>
      </c>
      <c r="F124" s="214">
        <v>2191</v>
      </c>
      <c r="G124">
        <v>98</v>
      </c>
      <c r="H124">
        <v>2.97</v>
      </c>
      <c r="I124">
        <v>3.23</v>
      </c>
      <c r="J124" s="214">
        <v>9.4</v>
      </c>
      <c r="K124" s="214">
        <v>68</v>
      </c>
      <c r="L124">
        <v>5500</v>
      </c>
      <c r="M124">
        <v>31</v>
      </c>
      <c r="N124">
        <v>38</v>
      </c>
      <c r="O124" t="s">
        <v>0</v>
      </c>
      <c r="P124">
        <f t="shared" si="6"/>
        <v>0</v>
      </c>
      <c r="Q124" t="s">
        <v>1</v>
      </c>
      <c r="R124">
        <f t="shared" si="7"/>
        <v>0</v>
      </c>
      <c r="S124" t="s">
        <v>5</v>
      </c>
      <c r="T124">
        <f t="shared" si="8"/>
        <v>1</v>
      </c>
      <c r="U124" t="s">
        <v>6</v>
      </c>
      <c r="V124">
        <f t="shared" si="9"/>
        <v>0</v>
      </c>
      <c r="W124">
        <f t="shared" si="10"/>
        <v>1</v>
      </c>
      <c r="X124" t="s">
        <v>4</v>
      </c>
      <c r="Y124">
        <f t="shared" si="11"/>
        <v>0</v>
      </c>
      <c r="Z124">
        <v>7609</v>
      </c>
    </row>
    <row r="125" spans="1:26">
      <c r="A125">
        <v>-1</v>
      </c>
      <c r="B125" s="214">
        <v>103.3</v>
      </c>
      <c r="C125" s="214">
        <v>174.6</v>
      </c>
      <c r="D125" s="214">
        <v>64.599999999999994</v>
      </c>
      <c r="E125" s="216">
        <v>59.8</v>
      </c>
      <c r="F125" s="214">
        <v>2535</v>
      </c>
      <c r="G125">
        <v>122</v>
      </c>
      <c r="H125">
        <v>3.35</v>
      </c>
      <c r="I125">
        <v>3.46</v>
      </c>
      <c r="J125" s="214">
        <v>8.5</v>
      </c>
      <c r="K125" s="214">
        <v>88</v>
      </c>
      <c r="L125">
        <v>5000</v>
      </c>
      <c r="M125">
        <v>24</v>
      </c>
      <c r="N125">
        <v>30</v>
      </c>
      <c r="O125" t="s">
        <v>0</v>
      </c>
      <c r="P125">
        <f t="shared" si="6"/>
        <v>0</v>
      </c>
      <c r="Q125" t="s">
        <v>1</v>
      </c>
      <c r="R125">
        <f t="shared" si="7"/>
        <v>0</v>
      </c>
      <c r="S125" t="s">
        <v>5</v>
      </c>
      <c r="T125">
        <f t="shared" si="8"/>
        <v>1</v>
      </c>
      <c r="U125" t="s">
        <v>6</v>
      </c>
      <c r="V125">
        <f t="shared" si="9"/>
        <v>0</v>
      </c>
      <c r="W125">
        <f t="shared" si="10"/>
        <v>1</v>
      </c>
      <c r="X125" t="s">
        <v>4</v>
      </c>
      <c r="Y125">
        <f t="shared" si="11"/>
        <v>0</v>
      </c>
      <c r="Z125">
        <v>8921</v>
      </c>
    </row>
    <row r="126" spans="1:26">
      <c r="A126">
        <v>3</v>
      </c>
      <c r="B126" s="214">
        <v>95.9</v>
      </c>
      <c r="C126" s="214">
        <v>173.2</v>
      </c>
      <c r="D126" s="214">
        <v>66.3</v>
      </c>
      <c r="E126" s="216">
        <v>50.2</v>
      </c>
      <c r="F126" s="214">
        <v>2818</v>
      </c>
      <c r="G126">
        <v>156</v>
      </c>
      <c r="H126">
        <v>3.59</v>
      </c>
      <c r="I126">
        <v>3.86</v>
      </c>
      <c r="J126" s="214">
        <v>7</v>
      </c>
      <c r="K126" s="214">
        <v>145</v>
      </c>
      <c r="L126">
        <v>5000</v>
      </c>
      <c r="M126">
        <v>19</v>
      </c>
      <c r="N126">
        <v>24</v>
      </c>
      <c r="O126" t="s">
        <v>0</v>
      </c>
      <c r="P126">
        <f t="shared" si="6"/>
        <v>0</v>
      </c>
      <c r="Q126" t="s">
        <v>8</v>
      </c>
      <c r="R126">
        <f t="shared" si="7"/>
        <v>1</v>
      </c>
      <c r="S126" t="s">
        <v>2</v>
      </c>
      <c r="T126">
        <f t="shared" si="8"/>
        <v>0</v>
      </c>
      <c r="U126" t="s">
        <v>3</v>
      </c>
      <c r="V126">
        <f t="shared" si="9"/>
        <v>0</v>
      </c>
      <c r="W126">
        <f t="shared" si="10"/>
        <v>0</v>
      </c>
      <c r="X126" t="s">
        <v>4</v>
      </c>
      <c r="Y126">
        <f t="shared" si="11"/>
        <v>0</v>
      </c>
      <c r="Z126">
        <v>12764</v>
      </c>
    </row>
    <row r="127" spans="1:26">
      <c r="A127">
        <v>3</v>
      </c>
      <c r="B127" s="214">
        <v>94.5</v>
      </c>
      <c r="C127" s="214">
        <v>168.9</v>
      </c>
      <c r="D127" s="214">
        <v>68.3</v>
      </c>
      <c r="E127" s="216">
        <v>50.2</v>
      </c>
      <c r="F127" s="214">
        <v>2778</v>
      </c>
      <c r="G127">
        <v>151</v>
      </c>
      <c r="H127">
        <v>3.94</v>
      </c>
      <c r="I127">
        <v>3.11</v>
      </c>
      <c r="J127" s="214">
        <v>9.5</v>
      </c>
      <c r="K127" s="214">
        <v>143</v>
      </c>
      <c r="L127">
        <v>5500</v>
      </c>
      <c r="M127">
        <v>19</v>
      </c>
      <c r="N127">
        <v>27</v>
      </c>
      <c r="O127" t="s">
        <v>0</v>
      </c>
      <c r="P127">
        <f t="shared" si="6"/>
        <v>0</v>
      </c>
      <c r="Q127" t="s">
        <v>1</v>
      </c>
      <c r="R127">
        <f t="shared" si="7"/>
        <v>0</v>
      </c>
      <c r="S127" t="s">
        <v>2</v>
      </c>
      <c r="T127">
        <f t="shared" si="8"/>
        <v>0</v>
      </c>
      <c r="U127" t="s">
        <v>3</v>
      </c>
      <c r="V127">
        <f t="shared" si="9"/>
        <v>0</v>
      </c>
      <c r="W127">
        <f t="shared" si="10"/>
        <v>0</v>
      </c>
      <c r="X127" t="s">
        <v>4</v>
      </c>
      <c r="Y127">
        <f t="shared" si="11"/>
        <v>0</v>
      </c>
      <c r="Z127">
        <v>22018</v>
      </c>
    </row>
    <row r="128" spans="1:26">
      <c r="A128">
        <v>3</v>
      </c>
      <c r="B128" s="214">
        <v>89.5</v>
      </c>
      <c r="C128" s="214">
        <v>168.9</v>
      </c>
      <c r="D128" s="214">
        <v>65</v>
      </c>
      <c r="E128" s="216">
        <v>51.6</v>
      </c>
      <c r="F128" s="214">
        <v>2756</v>
      </c>
      <c r="G128">
        <v>194</v>
      </c>
      <c r="H128">
        <v>3.74</v>
      </c>
      <c r="I128">
        <v>2.9</v>
      </c>
      <c r="J128" s="214">
        <v>9.5</v>
      </c>
      <c r="K128" s="214">
        <v>207</v>
      </c>
      <c r="L128">
        <v>5900</v>
      </c>
      <c r="M128">
        <v>17</v>
      </c>
      <c r="N128">
        <v>25</v>
      </c>
      <c r="O128" t="s">
        <v>0</v>
      </c>
      <c r="P128">
        <f t="shared" si="6"/>
        <v>0</v>
      </c>
      <c r="Q128" t="s">
        <v>1</v>
      </c>
      <c r="R128">
        <f t="shared" si="7"/>
        <v>0</v>
      </c>
      <c r="S128" t="s">
        <v>2</v>
      </c>
      <c r="T128">
        <f t="shared" si="8"/>
        <v>0</v>
      </c>
      <c r="U128" t="s">
        <v>3</v>
      </c>
      <c r="V128">
        <f t="shared" si="9"/>
        <v>0</v>
      </c>
      <c r="W128">
        <f t="shared" si="10"/>
        <v>0</v>
      </c>
      <c r="X128" t="s">
        <v>10</v>
      </c>
      <c r="Y128">
        <f t="shared" si="11"/>
        <v>1</v>
      </c>
      <c r="Z128">
        <v>32528</v>
      </c>
    </row>
    <row r="129" spans="1:26">
      <c r="A129">
        <v>3</v>
      </c>
      <c r="B129" s="214">
        <v>89.5</v>
      </c>
      <c r="C129" s="214">
        <v>168.9</v>
      </c>
      <c r="D129" s="214">
        <v>65</v>
      </c>
      <c r="E129" s="216">
        <v>51.6</v>
      </c>
      <c r="F129" s="214">
        <v>2756</v>
      </c>
      <c r="G129">
        <v>194</v>
      </c>
      <c r="H129">
        <v>3.74</v>
      </c>
      <c r="I129">
        <v>2.9</v>
      </c>
      <c r="J129" s="214">
        <v>9.5</v>
      </c>
      <c r="K129" s="214">
        <v>207</v>
      </c>
      <c r="L129">
        <v>5900</v>
      </c>
      <c r="M129">
        <v>17</v>
      </c>
      <c r="N129">
        <v>25</v>
      </c>
      <c r="O129" t="s">
        <v>0</v>
      </c>
      <c r="P129">
        <f t="shared" si="6"/>
        <v>0</v>
      </c>
      <c r="Q129" t="s">
        <v>1</v>
      </c>
      <c r="R129">
        <f t="shared" si="7"/>
        <v>0</v>
      </c>
      <c r="S129" t="s">
        <v>2</v>
      </c>
      <c r="T129">
        <f t="shared" si="8"/>
        <v>0</v>
      </c>
      <c r="U129" t="s">
        <v>3</v>
      </c>
      <c r="V129">
        <f t="shared" si="9"/>
        <v>0</v>
      </c>
      <c r="W129">
        <f t="shared" si="10"/>
        <v>0</v>
      </c>
      <c r="X129" t="s">
        <v>10</v>
      </c>
      <c r="Y129">
        <f t="shared" si="11"/>
        <v>1</v>
      </c>
      <c r="Z129">
        <v>34028</v>
      </c>
    </row>
    <row r="130" spans="1:26">
      <c r="A130">
        <v>3</v>
      </c>
      <c r="B130" s="214">
        <v>89.5</v>
      </c>
      <c r="C130" s="214">
        <v>168.9</v>
      </c>
      <c r="D130" s="214">
        <v>65</v>
      </c>
      <c r="E130" s="216">
        <v>51.6</v>
      </c>
      <c r="F130" s="214">
        <v>2800</v>
      </c>
      <c r="G130">
        <v>194</v>
      </c>
      <c r="H130">
        <v>3.74</v>
      </c>
      <c r="I130">
        <v>2.9</v>
      </c>
      <c r="J130" s="214">
        <v>9.5</v>
      </c>
      <c r="K130" s="214">
        <v>207</v>
      </c>
      <c r="L130">
        <v>5900</v>
      </c>
      <c r="M130">
        <v>17</v>
      </c>
      <c r="N130">
        <v>25</v>
      </c>
      <c r="O130" t="s">
        <v>0</v>
      </c>
      <c r="P130">
        <f t="shared" si="6"/>
        <v>0</v>
      </c>
      <c r="Q130" t="s">
        <v>1</v>
      </c>
      <c r="R130">
        <f t="shared" si="7"/>
        <v>0</v>
      </c>
      <c r="S130" t="s">
        <v>2</v>
      </c>
      <c r="T130">
        <f t="shared" si="8"/>
        <v>0</v>
      </c>
      <c r="U130" t="s">
        <v>3</v>
      </c>
      <c r="V130">
        <f t="shared" si="9"/>
        <v>0</v>
      </c>
      <c r="W130">
        <f t="shared" si="10"/>
        <v>0</v>
      </c>
      <c r="X130" t="s">
        <v>10</v>
      </c>
      <c r="Y130">
        <f t="shared" si="11"/>
        <v>1</v>
      </c>
      <c r="Z130">
        <v>37028</v>
      </c>
    </row>
    <row r="131" spans="1:26">
      <c r="A131">
        <v>1</v>
      </c>
      <c r="B131" s="214">
        <v>98.4</v>
      </c>
      <c r="C131" s="214">
        <v>175.7</v>
      </c>
      <c r="D131" s="214">
        <v>72.3</v>
      </c>
      <c r="E131" s="216">
        <v>50.5</v>
      </c>
      <c r="F131" s="214">
        <v>3366</v>
      </c>
      <c r="G131">
        <v>203</v>
      </c>
      <c r="H131">
        <v>3.94</v>
      </c>
      <c r="I131">
        <v>3.11</v>
      </c>
      <c r="J131" s="214">
        <v>10</v>
      </c>
      <c r="K131" s="214">
        <v>288</v>
      </c>
      <c r="L131">
        <v>5750</v>
      </c>
      <c r="M131">
        <v>17</v>
      </c>
      <c r="N131">
        <v>28</v>
      </c>
      <c r="O131" t="s">
        <v>0</v>
      </c>
      <c r="P131">
        <f t="shared" ref="P131:P194" si="12">IF(O131=$P$1,1,0)</f>
        <v>0</v>
      </c>
      <c r="Q131" t="s">
        <v>1</v>
      </c>
      <c r="R131">
        <f t="shared" ref="R131:R194" si="13">IF(Q131=$R$1,1,0)</f>
        <v>0</v>
      </c>
      <c r="S131" t="s">
        <v>2</v>
      </c>
      <c r="T131">
        <f t="shared" ref="T131:T194" si="14">IF(S131=$T$1,1,0)</f>
        <v>0</v>
      </c>
      <c r="U131" t="s">
        <v>3</v>
      </c>
      <c r="V131">
        <f t="shared" ref="V131:V194" si="15">IF(U131=$V$1,1,0)</f>
        <v>0</v>
      </c>
      <c r="W131">
        <f t="shared" ref="W131:W194" si="16">IF(U131=$W$1,1,0)</f>
        <v>0</v>
      </c>
      <c r="X131" t="s">
        <v>4</v>
      </c>
      <c r="Y131">
        <f t="shared" ref="Y131:Y194" si="17">IF(X131=$Y$1,1,0)</f>
        <v>0</v>
      </c>
      <c r="Z131">
        <v>31400.5</v>
      </c>
    </row>
    <row r="132" spans="1:26">
      <c r="A132">
        <v>0</v>
      </c>
      <c r="B132" s="214">
        <v>96.1</v>
      </c>
      <c r="C132" s="214">
        <v>181.5</v>
      </c>
      <c r="D132" s="214">
        <v>66.5</v>
      </c>
      <c r="E132" s="216">
        <v>55.2</v>
      </c>
      <c r="F132" s="214">
        <v>2579</v>
      </c>
      <c r="G132">
        <v>132</v>
      </c>
      <c r="H132">
        <v>3.46</v>
      </c>
      <c r="I132">
        <v>3.9</v>
      </c>
      <c r="J132" s="214">
        <v>8.6999999999999993</v>
      </c>
      <c r="K132" s="214">
        <v>90</v>
      </c>
      <c r="L132">
        <v>5100</v>
      </c>
      <c r="M132">
        <v>23</v>
      </c>
      <c r="N132">
        <v>31</v>
      </c>
      <c r="O132" t="s">
        <v>0</v>
      </c>
      <c r="P132">
        <f t="shared" si="12"/>
        <v>0</v>
      </c>
      <c r="Q132" t="s">
        <v>1</v>
      </c>
      <c r="R132">
        <f t="shared" si="13"/>
        <v>0</v>
      </c>
      <c r="S132" t="s">
        <v>5</v>
      </c>
      <c r="T132">
        <f t="shared" si="14"/>
        <v>1</v>
      </c>
      <c r="U132" t="s">
        <v>6</v>
      </c>
      <c r="V132">
        <f t="shared" si="15"/>
        <v>0</v>
      </c>
      <c r="W132">
        <f t="shared" si="16"/>
        <v>1</v>
      </c>
      <c r="X132" t="s">
        <v>4</v>
      </c>
      <c r="Y132">
        <f t="shared" si="17"/>
        <v>0</v>
      </c>
      <c r="Z132">
        <v>9295</v>
      </c>
    </row>
    <row r="133" spans="1:26">
      <c r="A133">
        <v>2</v>
      </c>
      <c r="B133" s="214">
        <v>96.1</v>
      </c>
      <c r="C133" s="214">
        <v>176.8</v>
      </c>
      <c r="D133" s="214">
        <v>66.599999999999994</v>
      </c>
      <c r="E133" s="216">
        <v>50.5</v>
      </c>
      <c r="F133" s="214">
        <v>2460</v>
      </c>
      <c r="G133">
        <v>132</v>
      </c>
      <c r="H133">
        <v>3.46</v>
      </c>
      <c r="I133">
        <v>3.9</v>
      </c>
      <c r="J133" s="214">
        <v>8.6999999999999993</v>
      </c>
      <c r="K133" s="214">
        <v>90</v>
      </c>
      <c r="L133">
        <v>5100</v>
      </c>
      <c r="M133">
        <v>23</v>
      </c>
      <c r="N133">
        <v>31</v>
      </c>
      <c r="O133" t="s">
        <v>0</v>
      </c>
      <c r="P133">
        <f t="shared" si="12"/>
        <v>0</v>
      </c>
      <c r="Q133" t="s">
        <v>1</v>
      </c>
      <c r="R133">
        <f t="shared" si="13"/>
        <v>0</v>
      </c>
      <c r="S133" t="s">
        <v>2</v>
      </c>
      <c r="T133">
        <f t="shared" si="14"/>
        <v>0</v>
      </c>
      <c r="U133" t="s">
        <v>6</v>
      </c>
      <c r="V133">
        <f t="shared" si="15"/>
        <v>0</v>
      </c>
      <c r="W133">
        <f t="shared" si="16"/>
        <v>1</v>
      </c>
      <c r="X133" t="s">
        <v>4</v>
      </c>
      <c r="Y133">
        <f t="shared" si="17"/>
        <v>0</v>
      </c>
      <c r="Z133">
        <v>9895</v>
      </c>
    </row>
    <row r="134" spans="1:26">
      <c r="A134">
        <v>3</v>
      </c>
      <c r="B134" s="214">
        <v>99.1</v>
      </c>
      <c r="C134" s="214">
        <v>186.6</v>
      </c>
      <c r="D134" s="214">
        <v>66.5</v>
      </c>
      <c r="E134" s="216">
        <v>56.1</v>
      </c>
      <c r="F134" s="214">
        <v>2658</v>
      </c>
      <c r="G134">
        <v>121</v>
      </c>
      <c r="H134">
        <v>3.54</v>
      </c>
      <c r="I134">
        <v>3.07</v>
      </c>
      <c r="J134" s="214">
        <v>9.31</v>
      </c>
      <c r="K134" s="214">
        <v>110</v>
      </c>
      <c r="L134">
        <v>5250</v>
      </c>
      <c r="M134">
        <v>21</v>
      </c>
      <c r="N134">
        <v>28</v>
      </c>
      <c r="O134" t="s">
        <v>0</v>
      </c>
      <c r="P134">
        <f t="shared" si="12"/>
        <v>0</v>
      </c>
      <c r="Q134" t="s">
        <v>1</v>
      </c>
      <c r="R134">
        <f t="shared" si="13"/>
        <v>0</v>
      </c>
      <c r="S134" t="s">
        <v>2</v>
      </c>
      <c r="T134">
        <f t="shared" si="14"/>
        <v>0</v>
      </c>
      <c r="U134" t="s">
        <v>6</v>
      </c>
      <c r="V134">
        <f t="shared" si="15"/>
        <v>0</v>
      </c>
      <c r="W134">
        <f t="shared" si="16"/>
        <v>1</v>
      </c>
      <c r="X134" t="s">
        <v>4</v>
      </c>
      <c r="Y134">
        <f t="shared" si="17"/>
        <v>0</v>
      </c>
      <c r="Z134">
        <v>11850</v>
      </c>
    </row>
    <row r="135" spans="1:26">
      <c r="A135">
        <v>2</v>
      </c>
      <c r="B135" s="214">
        <v>99.1</v>
      </c>
      <c r="C135" s="214">
        <v>186.6</v>
      </c>
      <c r="D135" s="214">
        <v>66.5</v>
      </c>
      <c r="E135" s="216">
        <v>56.1</v>
      </c>
      <c r="F135" s="214">
        <v>2695</v>
      </c>
      <c r="G135">
        <v>121</v>
      </c>
      <c r="H135">
        <v>3.54</v>
      </c>
      <c r="I135">
        <v>3.07</v>
      </c>
      <c r="J135" s="214">
        <v>9.3000000000000007</v>
      </c>
      <c r="K135" s="214">
        <v>110</v>
      </c>
      <c r="L135">
        <v>5250</v>
      </c>
      <c r="M135">
        <v>21</v>
      </c>
      <c r="N135">
        <v>28</v>
      </c>
      <c r="O135" t="s">
        <v>0</v>
      </c>
      <c r="P135">
        <f t="shared" si="12"/>
        <v>0</v>
      </c>
      <c r="Q135" t="s">
        <v>1</v>
      </c>
      <c r="R135">
        <f t="shared" si="13"/>
        <v>0</v>
      </c>
      <c r="S135" t="s">
        <v>5</v>
      </c>
      <c r="T135">
        <f t="shared" si="14"/>
        <v>1</v>
      </c>
      <c r="U135" t="s">
        <v>6</v>
      </c>
      <c r="V135">
        <f t="shared" si="15"/>
        <v>0</v>
      </c>
      <c r="W135">
        <f t="shared" si="16"/>
        <v>1</v>
      </c>
      <c r="X135" t="s">
        <v>4</v>
      </c>
      <c r="Y135">
        <f t="shared" si="17"/>
        <v>0</v>
      </c>
      <c r="Z135">
        <v>12170</v>
      </c>
    </row>
    <row r="136" spans="1:26">
      <c r="A136">
        <v>3</v>
      </c>
      <c r="B136" s="214">
        <v>99.1</v>
      </c>
      <c r="C136" s="214">
        <v>186.6</v>
      </c>
      <c r="D136" s="214">
        <v>66.5</v>
      </c>
      <c r="E136" s="216">
        <v>56.1</v>
      </c>
      <c r="F136" s="214">
        <v>2707</v>
      </c>
      <c r="G136">
        <v>121</v>
      </c>
      <c r="H136">
        <v>2.54</v>
      </c>
      <c r="I136">
        <v>2.0699999999999998</v>
      </c>
      <c r="J136" s="214">
        <v>9.3000000000000007</v>
      </c>
      <c r="K136" s="214">
        <v>110</v>
      </c>
      <c r="L136">
        <v>5250</v>
      </c>
      <c r="M136">
        <v>21</v>
      </c>
      <c r="N136">
        <v>28</v>
      </c>
      <c r="O136" t="s">
        <v>0</v>
      </c>
      <c r="P136">
        <f t="shared" si="12"/>
        <v>0</v>
      </c>
      <c r="Q136" t="s">
        <v>1</v>
      </c>
      <c r="R136">
        <f t="shared" si="13"/>
        <v>0</v>
      </c>
      <c r="S136" t="s">
        <v>2</v>
      </c>
      <c r="T136">
        <f t="shared" si="14"/>
        <v>0</v>
      </c>
      <c r="U136" t="s">
        <v>6</v>
      </c>
      <c r="V136">
        <f t="shared" si="15"/>
        <v>0</v>
      </c>
      <c r="W136">
        <f t="shared" si="16"/>
        <v>1</v>
      </c>
      <c r="X136" t="s">
        <v>4</v>
      </c>
      <c r="Y136">
        <f t="shared" si="17"/>
        <v>0</v>
      </c>
      <c r="Z136">
        <v>15040</v>
      </c>
    </row>
    <row r="137" spans="1:26">
      <c r="A137">
        <v>2</v>
      </c>
      <c r="B137" s="214">
        <v>99.1</v>
      </c>
      <c r="C137" s="214">
        <v>186.6</v>
      </c>
      <c r="D137" s="214">
        <v>66.5</v>
      </c>
      <c r="E137" s="216">
        <v>56.1</v>
      </c>
      <c r="F137" s="214">
        <v>2758</v>
      </c>
      <c r="G137">
        <v>121</v>
      </c>
      <c r="H137">
        <v>3.54</v>
      </c>
      <c r="I137">
        <v>3.07</v>
      </c>
      <c r="J137" s="214">
        <v>9.3000000000000007</v>
      </c>
      <c r="K137" s="214">
        <v>110</v>
      </c>
      <c r="L137">
        <v>5250</v>
      </c>
      <c r="M137">
        <v>21</v>
      </c>
      <c r="N137">
        <v>28</v>
      </c>
      <c r="O137" t="s">
        <v>0</v>
      </c>
      <c r="P137">
        <f t="shared" si="12"/>
        <v>0</v>
      </c>
      <c r="Q137" t="s">
        <v>1</v>
      </c>
      <c r="R137">
        <f t="shared" si="13"/>
        <v>0</v>
      </c>
      <c r="S137" t="s">
        <v>5</v>
      </c>
      <c r="T137">
        <f t="shared" si="14"/>
        <v>1</v>
      </c>
      <c r="U137" t="s">
        <v>6</v>
      </c>
      <c r="V137">
        <f t="shared" si="15"/>
        <v>0</v>
      </c>
      <c r="W137">
        <f t="shared" si="16"/>
        <v>1</v>
      </c>
      <c r="X137" t="s">
        <v>4</v>
      </c>
      <c r="Y137">
        <f t="shared" si="17"/>
        <v>0</v>
      </c>
      <c r="Z137">
        <v>15510</v>
      </c>
    </row>
    <row r="138" spans="1:26">
      <c r="A138">
        <v>3</v>
      </c>
      <c r="B138" s="214">
        <v>99.1</v>
      </c>
      <c r="C138" s="214">
        <v>186.6</v>
      </c>
      <c r="D138" s="214">
        <v>66.5</v>
      </c>
      <c r="E138" s="216">
        <v>56.1</v>
      </c>
      <c r="F138" s="214">
        <v>2808</v>
      </c>
      <c r="G138">
        <v>121</v>
      </c>
      <c r="H138">
        <v>3.54</v>
      </c>
      <c r="I138">
        <v>3.07</v>
      </c>
      <c r="J138" s="214">
        <v>9</v>
      </c>
      <c r="K138" s="214">
        <v>160</v>
      </c>
      <c r="L138">
        <v>5500</v>
      </c>
      <c r="M138">
        <v>19</v>
      </c>
      <c r="N138">
        <v>26</v>
      </c>
      <c r="O138" t="s">
        <v>0</v>
      </c>
      <c r="P138">
        <f t="shared" si="12"/>
        <v>0</v>
      </c>
      <c r="Q138" t="s">
        <v>8</v>
      </c>
      <c r="R138">
        <f t="shared" si="13"/>
        <v>1</v>
      </c>
      <c r="S138" t="s">
        <v>2</v>
      </c>
      <c r="T138">
        <f t="shared" si="14"/>
        <v>0</v>
      </c>
      <c r="U138" t="s">
        <v>6</v>
      </c>
      <c r="V138">
        <f t="shared" si="15"/>
        <v>0</v>
      </c>
      <c r="W138">
        <f t="shared" si="16"/>
        <v>1</v>
      </c>
      <c r="X138" t="s">
        <v>4</v>
      </c>
      <c r="Y138">
        <f t="shared" si="17"/>
        <v>0</v>
      </c>
      <c r="Z138">
        <v>18150</v>
      </c>
    </row>
    <row r="139" spans="1:26">
      <c r="A139">
        <v>2</v>
      </c>
      <c r="B139" s="214">
        <v>99.1</v>
      </c>
      <c r="C139" s="214">
        <v>186.6</v>
      </c>
      <c r="D139" s="214">
        <v>66.5</v>
      </c>
      <c r="E139" s="216">
        <v>56.1</v>
      </c>
      <c r="F139" s="214">
        <v>2847</v>
      </c>
      <c r="G139">
        <v>121</v>
      </c>
      <c r="H139">
        <v>3.54</v>
      </c>
      <c r="I139">
        <v>3.07</v>
      </c>
      <c r="J139" s="214">
        <v>9</v>
      </c>
      <c r="K139" s="214">
        <v>160</v>
      </c>
      <c r="L139">
        <v>5500</v>
      </c>
      <c r="M139">
        <v>19</v>
      </c>
      <c r="N139">
        <v>26</v>
      </c>
      <c r="O139" t="s">
        <v>0</v>
      </c>
      <c r="P139">
        <f t="shared" si="12"/>
        <v>0</v>
      </c>
      <c r="Q139" t="s">
        <v>8</v>
      </c>
      <c r="R139">
        <f t="shared" si="13"/>
        <v>1</v>
      </c>
      <c r="S139" t="s">
        <v>5</v>
      </c>
      <c r="T139">
        <f t="shared" si="14"/>
        <v>1</v>
      </c>
      <c r="U139" t="s">
        <v>6</v>
      </c>
      <c r="V139">
        <f t="shared" si="15"/>
        <v>0</v>
      </c>
      <c r="W139">
        <f t="shared" si="16"/>
        <v>1</v>
      </c>
      <c r="X139" t="s">
        <v>4</v>
      </c>
      <c r="Y139">
        <f t="shared" si="17"/>
        <v>0</v>
      </c>
      <c r="Z139">
        <v>18620</v>
      </c>
    </row>
    <row r="140" spans="1:26">
      <c r="A140">
        <v>2</v>
      </c>
      <c r="B140" s="214">
        <v>93.7</v>
      </c>
      <c r="C140" s="214">
        <v>156.9</v>
      </c>
      <c r="D140" s="214">
        <v>63.4</v>
      </c>
      <c r="E140" s="216">
        <v>53.7</v>
      </c>
      <c r="F140" s="214">
        <v>2050</v>
      </c>
      <c r="G140">
        <v>97</v>
      </c>
      <c r="H140">
        <v>3.62</v>
      </c>
      <c r="I140">
        <v>2.36</v>
      </c>
      <c r="J140" s="214">
        <v>9</v>
      </c>
      <c r="K140" s="214">
        <v>69</v>
      </c>
      <c r="L140">
        <v>4900</v>
      </c>
      <c r="M140">
        <v>31</v>
      </c>
      <c r="N140">
        <v>36</v>
      </c>
      <c r="O140" t="s">
        <v>0</v>
      </c>
      <c r="P140">
        <f t="shared" si="12"/>
        <v>0</v>
      </c>
      <c r="Q140" t="s">
        <v>1</v>
      </c>
      <c r="R140">
        <f t="shared" si="13"/>
        <v>0</v>
      </c>
      <c r="S140" t="s">
        <v>2</v>
      </c>
      <c r="T140">
        <f t="shared" si="14"/>
        <v>0</v>
      </c>
      <c r="U140" t="s">
        <v>6</v>
      </c>
      <c r="V140">
        <f t="shared" si="15"/>
        <v>0</v>
      </c>
      <c r="W140">
        <f t="shared" si="16"/>
        <v>1</v>
      </c>
      <c r="X140" t="s">
        <v>4</v>
      </c>
      <c r="Y140">
        <f t="shared" si="17"/>
        <v>0</v>
      </c>
      <c r="Z140">
        <v>5118</v>
      </c>
    </row>
    <row r="141" spans="1:26">
      <c r="A141">
        <v>2</v>
      </c>
      <c r="B141" s="214">
        <v>93.7</v>
      </c>
      <c r="C141" s="214">
        <v>157.9</v>
      </c>
      <c r="D141" s="214">
        <v>63.6</v>
      </c>
      <c r="E141" s="216">
        <v>53.7</v>
      </c>
      <c r="F141" s="214">
        <v>2120</v>
      </c>
      <c r="G141">
        <v>108</v>
      </c>
      <c r="H141">
        <v>3.62</v>
      </c>
      <c r="I141">
        <v>2.64</v>
      </c>
      <c r="J141" s="214">
        <v>8.6999999999999993</v>
      </c>
      <c r="K141" s="214">
        <v>73</v>
      </c>
      <c r="L141">
        <v>4400</v>
      </c>
      <c r="M141">
        <v>26</v>
      </c>
      <c r="N141">
        <v>31</v>
      </c>
      <c r="O141" t="s">
        <v>0</v>
      </c>
      <c r="P141">
        <f t="shared" si="12"/>
        <v>0</v>
      </c>
      <c r="Q141" t="s">
        <v>1</v>
      </c>
      <c r="R141">
        <f t="shared" si="13"/>
        <v>0</v>
      </c>
      <c r="S141" t="s">
        <v>2</v>
      </c>
      <c r="T141">
        <f t="shared" si="14"/>
        <v>0</v>
      </c>
      <c r="U141" t="s">
        <v>6</v>
      </c>
      <c r="V141">
        <f t="shared" si="15"/>
        <v>0</v>
      </c>
      <c r="W141">
        <f t="shared" si="16"/>
        <v>1</v>
      </c>
      <c r="X141" t="s">
        <v>4</v>
      </c>
      <c r="Y141">
        <f t="shared" si="17"/>
        <v>0</v>
      </c>
      <c r="Z141">
        <v>7053</v>
      </c>
    </row>
    <row r="142" spans="1:26">
      <c r="A142">
        <v>2</v>
      </c>
      <c r="B142" s="214">
        <v>93.3</v>
      </c>
      <c r="C142" s="214">
        <v>157.30000000000001</v>
      </c>
      <c r="D142" s="214">
        <v>63.8</v>
      </c>
      <c r="E142" s="216">
        <v>55.7</v>
      </c>
      <c r="F142" s="214">
        <v>2240</v>
      </c>
      <c r="G142">
        <v>108</v>
      </c>
      <c r="H142">
        <v>3.62</v>
      </c>
      <c r="I142">
        <v>2.64</v>
      </c>
      <c r="J142" s="214">
        <v>8.6999999999999993</v>
      </c>
      <c r="K142" s="214">
        <v>73</v>
      </c>
      <c r="L142">
        <v>4400</v>
      </c>
      <c r="M142">
        <v>26</v>
      </c>
      <c r="N142">
        <v>31</v>
      </c>
      <c r="O142" t="s">
        <v>0</v>
      </c>
      <c r="P142">
        <f t="shared" si="12"/>
        <v>0</v>
      </c>
      <c r="Q142" t="s">
        <v>1</v>
      </c>
      <c r="R142">
        <f t="shared" si="13"/>
        <v>0</v>
      </c>
      <c r="S142" t="s">
        <v>2</v>
      </c>
      <c r="T142">
        <f t="shared" si="14"/>
        <v>0</v>
      </c>
      <c r="U142" t="s">
        <v>7</v>
      </c>
      <c r="V142">
        <f t="shared" si="15"/>
        <v>1</v>
      </c>
      <c r="W142">
        <f t="shared" si="16"/>
        <v>0</v>
      </c>
      <c r="X142" t="s">
        <v>4</v>
      </c>
      <c r="Y142">
        <f t="shared" si="17"/>
        <v>0</v>
      </c>
      <c r="Z142">
        <v>7603</v>
      </c>
    </row>
    <row r="143" spans="1:26">
      <c r="A143">
        <v>0</v>
      </c>
      <c r="B143" s="214">
        <v>97.2</v>
      </c>
      <c r="C143" s="214">
        <v>172</v>
      </c>
      <c r="D143" s="214">
        <v>65.400000000000006</v>
      </c>
      <c r="E143" s="216">
        <v>52.5</v>
      </c>
      <c r="F143" s="214">
        <v>2145</v>
      </c>
      <c r="G143">
        <v>108</v>
      </c>
      <c r="H143">
        <v>3.62</v>
      </c>
      <c r="I143">
        <v>2.64</v>
      </c>
      <c r="J143" s="214">
        <v>9.5</v>
      </c>
      <c r="K143" s="214">
        <v>82</v>
      </c>
      <c r="L143">
        <v>4800</v>
      </c>
      <c r="M143">
        <v>32</v>
      </c>
      <c r="N143">
        <v>37</v>
      </c>
      <c r="O143" t="s">
        <v>0</v>
      </c>
      <c r="P143">
        <f t="shared" si="12"/>
        <v>0</v>
      </c>
      <c r="Q143" t="s">
        <v>1</v>
      </c>
      <c r="R143">
        <f t="shared" si="13"/>
        <v>0</v>
      </c>
      <c r="S143" t="s">
        <v>5</v>
      </c>
      <c r="T143">
        <f t="shared" si="14"/>
        <v>1</v>
      </c>
      <c r="U143" t="s">
        <v>6</v>
      </c>
      <c r="V143">
        <f t="shared" si="15"/>
        <v>0</v>
      </c>
      <c r="W143">
        <f t="shared" si="16"/>
        <v>1</v>
      </c>
      <c r="X143" t="s">
        <v>4</v>
      </c>
      <c r="Y143">
        <f t="shared" si="17"/>
        <v>0</v>
      </c>
      <c r="Z143">
        <v>7126</v>
      </c>
    </row>
    <row r="144" spans="1:26">
      <c r="A144">
        <v>0</v>
      </c>
      <c r="B144" s="214">
        <v>97.2</v>
      </c>
      <c r="C144" s="214">
        <v>172</v>
      </c>
      <c r="D144" s="214">
        <v>65.400000000000006</v>
      </c>
      <c r="E144" s="216">
        <v>52.5</v>
      </c>
      <c r="F144" s="214">
        <v>2190</v>
      </c>
      <c r="G144">
        <v>108</v>
      </c>
      <c r="H144">
        <v>3.62</v>
      </c>
      <c r="I144">
        <v>2.64</v>
      </c>
      <c r="J144" s="214">
        <v>9.5</v>
      </c>
      <c r="K144" s="214">
        <v>82</v>
      </c>
      <c r="L144">
        <v>4400</v>
      </c>
      <c r="M144">
        <v>28</v>
      </c>
      <c r="N144">
        <v>33</v>
      </c>
      <c r="O144" t="s">
        <v>0</v>
      </c>
      <c r="P144">
        <f t="shared" si="12"/>
        <v>0</v>
      </c>
      <c r="Q144" t="s">
        <v>1</v>
      </c>
      <c r="R144">
        <f t="shared" si="13"/>
        <v>0</v>
      </c>
      <c r="S144" t="s">
        <v>5</v>
      </c>
      <c r="T144">
        <f t="shared" si="14"/>
        <v>1</v>
      </c>
      <c r="U144" t="s">
        <v>6</v>
      </c>
      <c r="V144">
        <f t="shared" si="15"/>
        <v>0</v>
      </c>
      <c r="W144">
        <f t="shared" si="16"/>
        <v>1</v>
      </c>
      <c r="X144" t="s">
        <v>4</v>
      </c>
      <c r="Y144">
        <f t="shared" si="17"/>
        <v>0</v>
      </c>
      <c r="Z144">
        <v>7775</v>
      </c>
    </row>
    <row r="145" spans="1:26">
      <c r="A145">
        <v>0</v>
      </c>
      <c r="B145" s="214">
        <v>97.2</v>
      </c>
      <c r="C145" s="214">
        <v>172</v>
      </c>
      <c r="D145" s="214">
        <v>65.400000000000006</v>
      </c>
      <c r="E145" s="216">
        <v>52.5</v>
      </c>
      <c r="F145" s="214">
        <v>2340</v>
      </c>
      <c r="G145">
        <v>108</v>
      </c>
      <c r="H145">
        <v>3.62</v>
      </c>
      <c r="I145">
        <v>2.64</v>
      </c>
      <c r="J145" s="214">
        <v>9</v>
      </c>
      <c r="K145" s="214">
        <v>94</v>
      </c>
      <c r="L145">
        <v>5200</v>
      </c>
      <c r="M145">
        <v>26</v>
      </c>
      <c r="N145">
        <v>32</v>
      </c>
      <c r="O145" t="s">
        <v>0</v>
      </c>
      <c r="P145">
        <f t="shared" si="12"/>
        <v>0</v>
      </c>
      <c r="Q145" t="s">
        <v>1</v>
      </c>
      <c r="R145">
        <f t="shared" si="13"/>
        <v>0</v>
      </c>
      <c r="S145" t="s">
        <v>5</v>
      </c>
      <c r="T145">
        <f t="shared" si="14"/>
        <v>1</v>
      </c>
      <c r="U145" t="s">
        <v>6</v>
      </c>
      <c r="V145">
        <f t="shared" si="15"/>
        <v>0</v>
      </c>
      <c r="W145">
        <f t="shared" si="16"/>
        <v>1</v>
      </c>
      <c r="X145" t="s">
        <v>4</v>
      </c>
      <c r="Y145">
        <f t="shared" si="17"/>
        <v>0</v>
      </c>
      <c r="Z145">
        <v>9960</v>
      </c>
    </row>
    <row r="146" spans="1:26">
      <c r="A146">
        <v>0</v>
      </c>
      <c r="B146" s="214">
        <v>97</v>
      </c>
      <c r="C146" s="214">
        <v>172</v>
      </c>
      <c r="D146" s="214">
        <v>65.400000000000006</v>
      </c>
      <c r="E146" s="216">
        <v>54.3</v>
      </c>
      <c r="F146" s="214">
        <v>2385</v>
      </c>
      <c r="G146">
        <v>108</v>
      </c>
      <c r="H146">
        <v>3.62</v>
      </c>
      <c r="I146">
        <v>2.64</v>
      </c>
      <c r="J146" s="214">
        <v>9</v>
      </c>
      <c r="K146" s="214">
        <v>82</v>
      </c>
      <c r="L146">
        <v>4800</v>
      </c>
      <c r="M146">
        <v>24</v>
      </c>
      <c r="N146">
        <v>25</v>
      </c>
      <c r="O146" t="s">
        <v>0</v>
      </c>
      <c r="P146">
        <f t="shared" si="12"/>
        <v>0</v>
      </c>
      <c r="Q146" t="s">
        <v>1</v>
      </c>
      <c r="R146">
        <f t="shared" si="13"/>
        <v>0</v>
      </c>
      <c r="S146" t="s">
        <v>5</v>
      </c>
      <c r="T146">
        <f t="shared" si="14"/>
        <v>1</v>
      </c>
      <c r="U146" t="s">
        <v>7</v>
      </c>
      <c r="V146">
        <f t="shared" si="15"/>
        <v>1</v>
      </c>
      <c r="W146">
        <f t="shared" si="16"/>
        <v>0</v>
      </c>
      <c r="X146" t="s">
        <v>4</v>
      </c>
      <c r="Y146">
        <f t="shared" si="17"/>
        <v>0</v>
      </c>
      <c r="Z146">
        <v>9233</v>
      </c>
    </row>
    <row r="147" spans="1:26">
      <c r="A147">
        <v>0</v>
      </c>
      <c r="B147" s="214">
        <v>97</v>
      </c>
      <c r="C147" s="214">
        <v>172</v>
      </c>
      <c r="D147" s="214">
        <v>65.400000000000006</v>
      </c>
      <c r="E147" s="216">
        <v>54.3</v>
      </c>
      <c r="F147" s="214">
        <v>2510</v>
      </c>
      <c r="G147">
        <v>108</v>
      </c>
      <c r="H147">
        <v>3.62</v>
      </c>
      <c r="I147">
        <v>2.64</v>
      </c>
      <c r="J147" s="214">
        <v>7.7</v>
      </c>
      <c r="K147" s="214">
        <v>111</v>
      </c>
      <c r="L147">
        <v>4800</v>
      </c>
      <c r="M147">
        <v>24</v>
      </c>
      <c r="N147">
        <v>29</v>
      </c>
      <c r="O147" t="s">
        <v>0</v>
      </c>
      <c r="P147">
        <f t="shared" si="12"/>
        <v>0</v>
      </c>
      <c r="Q147" t="s">
        <v>8</v>
      </c>
      <c r="R147">
        <f t="shared" si="13"/>
        <v>1</v>
      </c>
      <c r="S147" t="s">
        <v>5</v>
      </c>
      <c r="T147">
        <f t="shared" si="14"/>
        <v>1</v>
      </c>
      <c r="U147" t="s">
        <v>7</v>
      </c>
      <c r="V147">
        <f t="shared" si="15"/>
        <v>1</v>
      </c>
      <c r="W147">
        <f t="shared" si="16"/>
        <v>0</v>
      </c>
      <c r="X147" t="s">
        <v>4</v>
      </c>
      <c r="Y147">
        <f t="shared" si="17"/>
        <v>0</v>
      </c>
      <c r="Z147">
        <v>11259</v>
      </c>
    </row>
    <row r="148" spans="1:26">
      <c r="A148">
        <v>0</v>
      </c>
      <c r="B148" s="214">
        <v>97</v>
      </c>
      <c r="C148" s="214">
        <v>173.5</v>
      </c>
      <c r="D148" s="214">
        <v>65.400000000000006</v>
      </c>
      <c r="E148" s="216">
        <v>53</v>
      </c>
      <c r="F148" s="214">
        <v>2290</v>
      </c>
      <c r="G148">
        <v>108</v>
      </c>
      <c r="H148">
        <v>3.62</v>
      </c>
      <c r="I148">
        <v>2.64</v>
      </c>
      <c r="J148" s="214">
        <v>9</v>
      </c>
      <c r="K148" s="214">
        <v>82</v>
      </c>
      <c r="L148">
        <v>4800</v>
      </c>
      <c r="M148">
        <v>28</v>
      </c>
      <c r="N148">
        <v>32</v>
      </c>
      <c r="O148" t="s">
        <v>0</v>
      </c>
      <c r="P148">
        <f t="shared" si="12"/>
        <v>0</v>
      </c>
      <c r="Q148" t="s">
        <v>1</v>
      </c>
      <c r="R148">
        <f t="shared" si="13"/>
        <v>0</v>
      </c>
      <c r="S148" t="s">
        <v>5</v>
      </c>
      <c r="T148">
        <f t="shared" si="14"/>
        <v>1</v>
      </c>
      <c r="U148" t="s">
        <v>6</v>
      </c>
      <c r="V148">
        <f t="shared" si="15"/>
        <v>0</v>
      </c>
      <c r="W148">
        <f t="shared" si="16"/>
        <v>1</v>
      </c>
      <c r="X148" t="s">
        <v>4</v>
      </c>
      <c r="Y148">
        <f t="shared" si="17"/>
        <v>0</v>
      </c>
      <c r="Z148">
        <v>7463</v>
      </c>
    </row>
    <row r="149" spans="1:26">
      <c r="A149">
        <v>0</v>
      </c>
      <c r="B149" s="214">
        <v>97</v>
      </c>
      <c r="C149" s="214">
        <v>173.5</v>
      </c>
      <c r="D149" s="214">
        <v>65.400000000000006</v>
      </c>
      <c r="E149" s="216">
        <v>53</v>
      </c>
      <c r="F149" s="214">
        <v>2455</v>
      </c>
      <c r="G149">
        <v>108</v>
      </c>
      <c r="H149">
        <v>3.62</v>
      </c>
      <c r="I149">
        <v>2.64</v>
      </c>
      <c r="J149" s="214">
        <v>9</v>
      </c>
      <c r="K149" s="214">
        <v>94</v>
      </c>
      <c r="L149">
        <v>5200</v>
      </c>
      <c r="M149">
        <v>25</v>
      </c>
      <c r="N149">
        <v>31</v>
      </c>
      <c r="O149" t="s">
        <v>0</v>
      </c>
      <c r="P149">
        <f t="shared" si="12"/>
        <v>0</v>
      </c>
      <c r="Q149" t="s">
        <v>1</v>
      </c>
      <c r="R149">
        <f t="shared" si="13"/>
        <v>0</v>
      </c>
      <c r="S149" t="s">
        <v>5</v>
      </c>
      <c r="T149">
        <f t="shared" si="14"/>
        <v>1</v>
      </c>
      <c r="U149" t="s">
        <v>6</v>
      </c>
      <c r="V149">
        <f t="shared" si="15"/>
        <v>0</v>
      </c>
      <c r="W149">
        <f t="shared" si="16"/>
        <v>1</v>
      </c>
      <c r="X149" t="s">
        <v>4</v>
      </c>
      <c r="Y149">
        <f t="shared" si="17"/>
        <v>0</v>
      </c>
      <c r="Z149">
        <v>10198</v>
      </c>
    </row>
    <row r="150" spans="1:26">
      <c r="A150">
        <v>0</v>
      </c>
      <c r="B150" s="214">
        <v>96.9</v>
      </c>
      <c r="C150" s="214">
        <v>173.6</v>
      </c>
      <c r="D150" s="214">
        <v>65.400000000000006</v>
      </c>
      <c r="E150" s="216">
        <v>54.9</v>
      </c>
      <c r="F150" s="214">
        <v>2420</v>
      </c>
      <c r="G150">
        <v>108</v>
      </c>
      <c r="H150">
        <v>3.62</v>
      </c>
      <c r="I150">
        <v>2.64</v>
      </c>
      <c r="J150" s="214">
        <v>9</v>
      </c>
      <c r="K150" s="214">
        <v>82</v>
      </c>
      <c r="L150">
        <v>4800</v>
      </c>
      <c r="M150">
        <v>23</v>
      </c>
      <c r="N150">
        <v>29</v>
      </c>
      <c r="O150" t="s">
        <v>0</v>
      </c>
      <c r="P150">
        <f t="shared" si="12"/>
        <v>0</v>
      </c>
      <c r="Q150" t="s">
        <v>1</v>
      </c>
      <c r="R150">
        <f t="shared" si="13"/>
        <v>0</v>
      </c>
      <c r="S150" t="s">
        <v>5</v>
      </c>
      <c r="T150">
        <f t="shared" si="14"/>
        <v>1</v>
      </c>
      <c r="U150" t="s">
        <v>7</v>
      </c>
      <c r="V150">
        <f t="shared" si="15"/>
        <v>1</v>
      </c>
      <c r="W150">
        <f t="shared" si="16"/>
        <v>0</v>
      </c>
      <c r="X150" t="s">
        <v>4</v>
      </c>
      <c r="Y150">
        <f t="shared" si="17"/>
        <v>0</v>
      </c>
      <c r="Z150">
        <v>8013</v>
      </c>
    </row>
    <row r="151" spans="1:26">
      <c r="A151">
        <v>0</v>
      </c>
      <c r="B151" s="214">
        <v>96.9</v>
      </c>
      <c r="C151" s="214">
        <v>173.6</v>
      </c>
      <c r="D151" s="214">
        <v>65.400000000000006</v>
      </c>
      <c r="E151" s="216">
        <v>54.9</v>
      </c>
      <c r="F151" s="214">
        <v>2650</v>
      </c>
      <c r="G151">
        <v>108</v>
      </c>
      <c r="H151">
        <v>3.62</v>
      </c>
      <c r="I151">
        <v>2.64</v>
      </c>
      <c r="J151" s="214">
        <v>7.7</v>
      </c>
      <c r="K151" s="214">
        <v>111</v>
      </c>
      <c r="L151">
        <v>4800</v>
      </c>
      <c r="M151">
        <v>23</v>
      </c>
      <c r="N151">
        <v>23</v>
      </c>
      <c r="O151" t="s">
        <v>0</v>
      </c>
      <c r="P151">
        <f t="shared" si="12"/>
        <v>0</v>
      </c>
      <c r="Q151" t="s">
        <v>8</v>
      </c>
      <c r="R151">
        <f t="shared" si="13"/>
        <v>1</v>
      </c>
      <c r="S151" t="s">
        <v>5</v>
      </c>
      <c r="T151">
        <f t="shared" si="14"/>
        <v>1</v>
      </c>
      <c r="U151" t="s">
        <v>7</v>
      </c>
      <c r="V151">
        <f t="shared" si="15"/>
        <v>1</v>
      </c>
      <c r="W151">
        <f t="shared" si="16"/>
        <v>0</v>
      </c>
      <c r="X151" t="s">
        <v>4</v>
      </c>
      <c r="Y151">
        <f t="shared" si="17"/>
        <v>0</v>
      </c>
      <c r="Z151">
        <v>11694</v>
      </c>
    </row>
    <row r="152" spans="1:26">
      <c r="A152">
        <v>1</v>
      </c>
      <c r="B152" s="214">
        <v>95.7</v>
      </c>
      <c r="C152" s="214">
        <v>158.69999999999999</v>
      </c>
      <c r="D152" s="214">
        <v>63.6</v>
      </c>
      <c r="E152" s="216">
        <v>54.5</v>
      </c>
      <c r="F152" s="214">
        <v>1985</v>
      </c>
      <c r="G152">
        <v>92</v>
      </c>
      <c r="H152">
        <v>3.05</v>
      </c>
      <c r="I152">
        <v>3.03</v>
      </c>
      <c r="J152" s="214">
        <v>9</v>
      </c>
      <c r="K152" s="214">
        <v>62</v>
      </c>
      <c r="L152">
        <v>4800</v>
      </c>
      <c r="M152">
        <v>35</v>
      </c>
      <c r="N152">
        <v>39</v>
      </c>
      <c r="O152" t="s">
        <v>0</v>
      </c>
      <c r="P152">
        <f t="shared" si="12"/>
        <v>0</v>
      </c>
      <c r="Q152" t="s">
        <v>1</v>
      </c>
      <c r="R152">
        <f t="shared" si="13"/>
        <v>0</v>
      </c>
      <c r="S152" t="s">
        <v>2</v>
      </c>
      <c r="T152">
        <f t="shared" si="14"/>
        <v>0</v>
      </c>
      <c r="U152" t="s">
        <v>6</v>
      </c>
      <c r="V152">
        <f t="shared" si="15"/>
        <v>0</v>
      </c>
      <c r="W152">
        <f t="shared" si="16"/>
        <v>1</v>
      </c>
      <c r="X152" t="s">
        <v>4</v>
      </c>
      <c r="Y152">
        <f t="shared" si="17"/>
        <v>0</v>
      </c>
      <c r="Z152">
        <v>5348</v>
      </c>
    </row>
    <row r="153" spans="1:26">
      <c r="A153">
        <v>1</v>
      </c>
      <c r="B153" s="214">
        <v>95.7</v>
      </c>
      <c r="C153" s="214">
        <v>158.69999999999999</v>
      </c>
      <c r="D153" s="214">
        <v>63.6</v>
      </c>
      <c r="E153" s="216">
        <v>54.5</v>
      </c>
      <c r="F153" s="214">
        <v>2040</v>
      </c>
      <c r="G153">
        <v>92</v>
      </c>
      <c r="H153">
        <v>3.05</v>
      </c>
      <c r="I153">
        <v>3.03</v>
      </c>
      <c r="J153" s="214">
        <v>9</v>
      </c>
      <c r="K153" s="214">
        <v>62</v>
      </c>
      <c r="L153">
        <v>4800</v>
      </c>
      <c r="M153">
        <v>31</v>
      </c>
      <c r="N153">
        <v>38</v>
      </c>
      <c r="O153" t="s">
        <v>0</v>
      </c>
      <c r="P153">
        <f t="shared" si="12"/>
        <v>0</v>
      </c>
      <c r="Q153" t="s">
        <v>1</v>
      </c>
      <c r="R153">
        <f t="shared" si="13"/>
        <v>0</v>
      </c>
      <c r="S153" t="s">
        <v>2</v>
      </c>
      <c r="T153">
        <f t="shared" si="14"/>
        <v>0</v>
      </c>
      <c r="U153" t="s">
        <v>6</v>
      </c>
      <c r="V153">
        <f t="shared" si="15"/>
        <v>0</v>
      </c>
      <c r="W153">
        <f t="shared" si="16"/>
        <v>1</v>
      </c>
      <c r="X153" t="s">
        <v>4</v>
      </c>
      <c r="Y153">
        <f t="shared" si="17"/>
        <v>0</v>
      </c>
      <c r="Z153">
        <v>6338</v>
      </c>
    </row>
    <row r="154" spans="1:26">
      <c r="A154">
        <v>1</v>
      </c>
      <c r="B154" s="214">
        <v>95.7</v>
      </c>
      <c r="C154" s="214">
        <v>158.69999999999999</v>
      </c>
      <c r="D154" s="214">
        <v>63.6</v>
      </c>
      <c r="E154" s="216">
        <v>54.5</v>
      </c>
      <c r="F154" s="214">
        <v>2015</v>
      </c>
      <c r="G154">
        <v>92</v>
      </c>
      <c r="H154">
        <v>3.05</v>
      </c>
      <c r="I154">
        <v>3.03</v>
      </c>
      <c r="J154" s="214">
        <v>9</v>
      </c>
      <c r="K154" s="214">
        <v>62</v>
      </c>
      <c r="L154">
        <v>4800</v>
      </c>
      <c r="M154">
        <v>31</v>
      </c>
      <c r="N154">
        <v>38</v>
      </c>
      <c r="O154" t="s">
        <v>0</v>
      </c>
      <c r="P154">
        <f t="shared" si="12"/>
        <v>0</v>
      </c>
      <c r="Q154" t="s">
        <v>1</v>
      </c>
      <c r="R154">
        <f t="shared" si="13"/>
        <v>0</v>
      </c>
      <c r="S154" t="s">
        <v>5</v>
      </c>
      <c r="T154">
        <f t="shared" si="14"/>
        <v>1</v>
      </c>
      <c r="U154" t="s">
        <v>6</v>
      </c>
      <c r="V154">
        <f t="shared" si="15"/>
        <v>0</v>
      </c>
      <c r="W154">
        <f t="shared" si="16"/>
        <v>1</v>
      </c>
      <c r="X154" t="s">
        <v>4</v>
      </c>
      <c r="Y154">
        <f t="shared" si="17"/>
        <v>0</v>
      </c>
      <c r="Z154">
        <v>6488</v>
      </c>
    </row>
    <row r="155" spans="1:26">
      <c r="A155">
        <v>0</v>
      </c>
      <c r="B155" s="214">
        <v>95.7</v>
      </c>
      <c r="C155" s="214">
        <v>169.7</v>
      </c>
      <c r="D155" s="214">
        <v>63.6</v>
      </c>
      <c r="E155" s="216">
        <v>59.1</v>
      </c>
      <c r="F155" s="214">
        <v>2280</v>
      </c>
      <c r="G155">
        <v>92</v>
      </c>
      <c r="H155">
        <v>3.05</v>
      </c>
      <c r="I155">
        <v>3.03</v>
      </c>
      <c r="J155" s="214">
        <v>9</v>
      </c>
      <c r="K155" s="214">
        <v>62</v>
      </c>
      <c r="L155">
        <v>4800</v>
      </c>
      <c r="M155">
        <v>31</v>
      </c>
      <c r="N155">
        <v>37</v>
      </c>
      <c r="O155" t="s">
        <v>0</v>
      </c>
      <c r="P155">
        <f t="shared" si="12"/>
        <v>0</v>
      </c>
      <c r="Q155" t="s">
        <v>1</v>
      </c>
      <c r="R155">
        <f t="shared" si="13"/>
        <v>0</v>
      </c>
      <c r="S155" t="s">
        <v>5</v>
      </c>
      <c r="T155">
        <f t="shared" si="14"/>
        <v>1</v>
      </c>
      <c r="U155" t="s">
        <v>6</v>
      </c>
      <c r="V155">
        <f t="shared" si="15"/>
        <v>0</v>
      </c>
      <c r="W155">
        <f t="shared" si="16"/>
        <v>1</v>
      </c>
      <c r="X155" t="s">
        <v>4</v>
      </c>
      <c r="Y155">
        <f t="shared" si="17"/>
        <v>0</v>
      </c>
      <c r="Z155">
        <v>6918</v>
      </c>
    </row>
    <row r="156" spans="1:26">
      <c r="A156">
        <v>0</v>
      </c>
      <c r="B156" s="214">
        <v>95.7</v>
      </c>
      <c r="C156" s="214">
        <v>169.7</v>
      </c>
      <c r="D156" s="214">
        <v>63.6</v>
      </c>
      <c r="E156" s="216">
        <v>59.1</v>
      </c>
      <c r="F156" s="214">
        <v>2290</v>
      </c>
      <c r="G156">
        <v>92</v>
      </c>
      <c r="H156">
        <v>3.05</v>
      </c>
      <c r="I156">
        <v>3.03</v>
      </c>
      <c r="J156" s="214">
        <v>9</v>
      </c>
      <c r="K156" s="214">
        <v>62</v>
      </c>
      <c r="L156">
        <v>4800</v>
      </c>
      <c r="M156">
        <v>27</v>
      </c>
      <c r="N156">
        <v>32</v>
      </c>
      <c r="O156" t="s">
        <v>0</v>
      </c>
      <c r="P156">
        <f t="shared" si="12"/>
        <v>0</v>
      </c>
      <c r="Q156" t="s">
        <v>1</v>
      </c>
      <c r="R156">
        <f t="shared" si="13"/>
        <v>0</v>
      </c>
      <c r="S156" t="s">
        <v>5</v>
      </c>
      <c r="T156">
        <f t="shared" si="14"/>
        <v>1</v>
      </c>
      <c r="U156" t="s">
        <v>7</v>
      </c>
      <c r="V156">
        <f t="shared" si="15"/>
        <v>1</v>
      </c>
      <c r="W156">
        <f t="shared" si="16"/>
        <v>0</v>
      </c>
      <c r="X156" t="s">
        <v>4</v>
      </c>
      <c r="Y156">
        <f t="shared" si="17"/>
        <v>0</v>
      </c>
      <c r="Z156">
        <v>7898</v>
      </c>
    </row>
    <row r="157" spans="1:26">
      <c r="A157">
        <v>0</v>
      </c>
      <c r="B157" s="214">
        <v>95.7</v>
      </c>
      <c r="C157" s="214">
        <v>169.7</v>
      </c>
      <c r="D157" s="214">
        <v>63.6</v>
      </c>
      <c r="E157" s="216">
        <v>59.1</v>
      </c>
      <c r="F157" s="214">
        <v>3110</v>
      </c>
      <c r="G157">
        <v>92</v>
      </c>
      <c r="H157">
        <v>3.05</v>
      </c>
      <c r="I157">
        <v>3.03</v>
      </c>
      <c r="J157" s="214">
        <v>9</v>
      </c>
      <c r="K157" s="214">
        <v>62</v>
      </c>
      <c r="L157">
        <v>4800</v>
      </c>
      <c r="M157">
        <v>27</v>
      </c>
      <c r="N157">
        <v>32</v>
      </c>
      <c r="O157" t="s">
        <v>0</v>
      </c>
      <c r="P157">
        <f t="shared" si="12"/>
        <v>0</v>
      </c>
      <c r="Q157" t="s">
        <v>1</v>
      </c>
      <c r="R157">
        <f t="shared" si="13"/>
        <v>0</v>
      </c>
      <c r="S157" t="s">
        <v>5</v>
      </c>
      <c r="T157">
        <f t="shared" si="14"/>
        <v>1</v>
      </c>
      <c r="U157" t="s">
        <v>7</v>
      </c>
      <c r="V157">
        <f t="shared" si="15"/>
        <v>1</v>
      </c>
      <c r="W157">
        <f t="shared" si="16"/>
        <v>0</v>
      </c>
      <c r="X157" t="s">
        <v>4</v>
      </c>
      <c r="Y157">
        <f t="shared" si="17"/>
        <v>0</v>
      </c>
      <c r="Z157">
        <v>8778</v>
      </c>
    </row>
    <row r="158" spans="1:26">
      <c r="A158">
        <v>0</v>
      </c>
      <c r="B158" s="214">
        <v>95.7</v>
      </c>
      <c r="C158" s="214">
        <v>166.3</v>
      </c>
      <c r="D158" s="214">
        <v>64.400000000000006</v>
      </c>
      <c r="E158" s="216">
        <v>53</v>
      </c>
      <c r="F158" s="214">
        <v>2081</v>
      </c>
      <c r="G158">
        <v>98</v>
      </c>
      <c r="H158">
        <v>3.19</v>
      </c>
      <c r="I158">
        <v>3.03</v>
      </c>
      <c r="J158" s="214">
        <v>9</v>
      </c>
      <c r="K158" s="214">
        <v>70</v>
      </c>
      <c r="L158">
        <v>4800</v>
      </c>
      <c r="M158">
        <v>30</v>
      </c>
      <c r="N158">
        <v>37</v>
      </c>
      <c r="O158" t="s">
        <v>0</v>
      </c>
      <c r="P158">
        <f t="shared" si="12"/>
        <v>0</v>
      </c>
      <c r="Q158" t="s">
        <v>1</v>
      </c>
      <c r="R158">
        <f t="shared" si="13"/>
        <v>0</v>
      </c>
      <c r="S158" t="s">
        <v>5</v>
      </c>
      <c r="T158">
        <f t="shared" si="14"/>
        <v>1</v>
      </c>
      <c r="U158" t="s">
        <v>6</v>
      </c>
      <c r="V158">
        <f t="shared" si="15"/>
        <v>0</v>
      </c>
      <c r="W158">
        <f t="shared" si="16"/>
        <v>1</v>
      </c>
      <c r="X158" t="s">
        <v>4</v>
      </c>
      <c r="Y158">
        <f t="shared" si="17"/>
        <v>0</v>
      </c>
      <c r="Z158">
        <v>6938</v>
      </c>
    </row>
    <row r="159" spans="1:26">
      <c r="A159">
        <v>0</v>
      </c>
      <c r="B159" s="214">
        <v>95.7</v>
      </c>
      <c r="C159" s="214">
        <v>166.3</v>
      </c>
      <c r="D159" s="214">
        <v>64.400000000000006</v>
      </c>
      <c r="E159" s="216">
        <v>52.8</v>
      </c>
      <c r="F159" s="214">
        <v>2109</v>
      </c>
      <c r="G159">
        <v>98</v>
      </c>
      <c r="H159">
        <v>3.19</v>
      </c>
      <c r="I159">
        <v>3.03</v>
      </c>
      <c r="J159" s="214">
        <v>9</v>
      </c>
      <c r="K159" s="214">
        <v>70</v>
      </c>
      <c r="L159">
        <v>4800</v>
      </c>
      <c r="M159">
        <v>30</v>
      </c>
      <c r="N159">
        <v>37</v>
      </c>
      <c r="O159" t="s">
        <v>0</v>
      </c>
      <c r="P159">
        <f t="shared" si="12"/>
        <v>0</v>
      </c>
      <c r="Q159" t="s">
        <v>1</v>
      </c>
      <c r="R159">
        <f t="shared" si="13"/>
        <v>0</v>
      </c>
      <c r="S159" t="s">
        <v>5</v>
      </c>
      <c r="T159">
        <f t="shared" si="14"/>
        <v>1</v>
      </c>
      <c r="U159" t="s">
        <v>6</v>
      </c>
      <c r="V159">
        <f t="shared" si="15"/>
        <v>0</v>
      </c>
      <c r="W159">
        <f t="shared" si="16"/>
        <v>1</v>
      </c>
      <c r="X159" t="s">
        <v>4</v>
      </c>
      <c r="Y159">
        <f t="shared" si="17"/>
        <v>0</v>
      </c>
      <c r="Z159">
        <v>7198</v>
      </c>
    </row>
    <row r="160" spans="1:26">
      <c r="A160">
        <v>0</v>
      </c>
      <c r="B160" s="214">
        <v>95.7</v>
      </c>
      <c r="C160" s="214">
        <v>166.3</v>
      </c>
      <c r="D160" s="214">
        <v>64.400000000000006</v>
      </c>
      <c r="E160" s="216">
        <v>53</v>
      </c>
      <c r="F160" s="214">
        <v>2275</v>
      </c>
      <c r="G160">
        <v>110</v>
      </c>
      <c r="H160">
        <v>3.27</v>
      </c>
      <c r="I160">
        <v>3.35</v>
      </c>
      <c r="J160" s="214">
        <v>22.5</v>
      </c>
      <c r="K160" s="214">
        <v>56</v>
      </c>
      <c r="L160">
        <v>4500</v>
      </c>
      <c r="M160">
        <v>34</v>
      </c>
      <c r="N160">
        <v>36</v>
      </c>
      <c r="O160" t="s">
        <v>9</v>
      </c>
      <c r="P160">
        <f t="shared" si="12"/>
        <v>1</v>
      </c>
      <c r="Q160" t="s">
        <v>1</v>
      </c>
      <c r="R160">
        <f t="shared" si="13"/>
        <v>0</v>
      </c>
      <c r="S160" t="s">
        <v>5</v>
      </c>
      <c r="T160">
        <f t="shared" si="14"/>
        <v>1</v>
      </c>
      <c r="U160" t="s">
        <v>6</v>
      </c>
      <c r="V160">
        <f t="shared" si="15"/>
        <v>0</v>
      </c>
      <c r="W160">
        <f t="shared" si="16"/>
        <v>1</v>
      </c>
      <c r="X160" t="s">
        <v>4</v>
      </c>
      <c r="Y160">
        <f t="shared" si="17"/>
        <v>0</v>
      </c>
      <c r="Z160">
        <v>7898</v>
      </c>
    </row>
    <row r="161" spans="1:26">
      <c r="A161">
        <v>0</v>
      </c>
      <c r="B161" s="214">
        <v>95.7</v>
      </c>
      <c r="C161" s="214">
        <v>166.3</v>
      </c>
      <c r="D161" s="214">
        <v>64.400000000000006</v>
      </c>
      <c r="E161" s="216">
        <v>52.8</v>
      </c>
      <c r="F161" s="214">
        <v>2275</v>
      </c>
      <c r="G161">
        <v>110</v>
      </c>
      <c r="H161">
        <v>3.27</v>
      </c>
      <c r="I161">
        <v>3.35</v>
      </c>
      <c r="J161" s="214">
        <v>22.5</v>
      </c>
      <c r="K161" s="214">
        <v>56</v>
      </c>
      <c r="L161">
        <v>4500</v>
      </c>
      <c r="M161">
        <v>38</v>
      </c>
      <c r="N161">
        <v>47</v>
      </c>
      <c r="O161" t="s">
        <v>9</v>
      </c>
      <c r="P161">
        <f t="shared" si="12"/>
        <v>1</v>
      </c>
      <c r="Q161" t="s">
        <v>1</v>
      </c>
      <c r="R161">
        <f t="shared" si="13"/>
        <v>0</v>
      </c>
      <c r="S161" t="s">
        <v>5</v>
      </c>
      <c r="T161">
        <f t="shared" si="14"/>
        <v>1</v>
      </c>
      <c r="U161" t="s">
        <v>6</v>
      </c>
      <c r="V161">
        <f t="shared" si="15"/>
        <v>0</v>
      </c>
      <c r="W161">
        <f t="shared" si="16"/>
        <v>1</v>
      </c>
      <c r="X161" t="s">
        <v>4</v>
      </c>
      <c r="Y161">
        <f t="shared" si="17"/>
        <v>0</v>
      </c>
      <c r="Z161">
        <v>7788</v>
      </c>
    </row>
    <row r="162" spans="1:26">
      <c r="A162">
        <v>0</v>
      </c>
      <c r="B162" s="214">
        <v>95.7</v>
      </c>
      <c r="C162" s="214">
        <v>166.3</v>
      </c>
      <c r="D162" s="214">
        <v>64.400000000000006</v>
      </c>
      <c r="E162" s="216">
        <v>53</v>
      </c>
      <c r="F162" s="214">
        <v>2094</v>
      </c>
      <c r="G162">
        <v>98</v>
      </c>
      <c r="H162">
        <v>3.19</v>
      </c>
      <c r="I162">
        <v>3.03</v>
      </c>
      <c r="J162" s="214">
        <v>9</v>
      </c>
      <c r="K162" s="214">
        <v>70</v>
      </c>
      <c r="L162">
        <v>4800</v>
      </c>
      <c r="M162">
        <v>38</v>
      </c>
      <c r="N162">
        <v>47</v>
      </c>
      <c r="O162" t="s">
        <v>0</v>
      </c>
      <c r="P162">
        <f t="shared" si="12"/>
        <v>0</v>
      </c>
      <c r="Q162" t="s">
        <v>1</v>
      </c>
      <c r="R162">
        <f t="shared" si="13"/>
        <v>0</v>
      </c>
      <c r="S162" t="s">
        <v>5</v>
      </c>
      <c r="T162">
        <f t="shared" si="14"/>
        <v>1</v>
      </c>
      <c r="U162" t="s">
        <v>6</v>
      </c>
      <c r="V162">
        <f t="shared" si="15"/>
        <v>0</v>
      </c>
      <c r="W162">
        <f t="shared" si="16"/>
        <v>1</v>
      </c>
      <c r="X162" t="s">
        <v>4</v>
      </c>
      <c r="Y162">
        <f t="shared" si="17"/>
        <v>0</v>
      </c>
      <c r="Z162">
        <v>7738</v>
      </c>
    </row>
    <row r="163" spans="1:26">
      <c r="A163">
        <v>0</v>
      </c>
      <c r="B163" s="214">
        <v>95.7</v>
      </c>
      <c r="C163" s="214">
        <v>166.3</v>
      </c>
      <c r="D163" s="214">
        <v>64.400000000000006</v>
      </c>
      <c r="E163" s="216">
        <v>52.8</v>
      </c>
      <c r="F163" s="214">
        <v>2122</v>
      </c>
      <c r="G163">
        <v>98</v>
      </c>
      <c r="H163">
        <v>3.19</v>
      </c>
      <c r="I163">
        <v>3.03</v>
      </c>
      <c r="J163" s="214">
        <v>9</v>
      </c>
      <c r="K163" s="214">
        <v>70</v>
      </c>
      <c r="L163">
        <v>4800</v>
      </c>
      <c r="M163">
        <v>28</v>
      </c>
      <c r="N163">
        <v>34</v>
      </c>
      <c r="O163" t="s">
        <v>0</v>
      </c>
      <c r="P163">
        <f t="shared" si="12"/>
        <v>0</v>
      </c>
      <c r="Q163" t="s">
        <v>1</v>
      </c>
      <c r="R163">
        <f t="shared" si="13"/>
        <v>0</v>
      </c>
      <c r="S163" t="s">
        <v>5</v>
      </c>
      <c r="T163">
        <f t="shared" si="14"/>
        <v>1</v>
      </c>
      <c r="U163" t="s">
        <v>6</v>
      </c>
      <c r="V163">
        <f t="shared" si="15"/>
        <v>0</v>
      </c>
      <c r="W163">
        <f t="shared" si="16"/>
        <v>1</v>
      </c>
      <c r="X163" t="s">
        <v>4</v>
      </c>
      <c r="Y163">
        <f t="shared" si="17"/>
        <v>0</v>
      </c>
      <c r="Z163">
        <v>8358</v>
      </c>
    </row>
    <row r="164" spans="1:26">
      <c r="A164">
        <v>0</v>
      </c>
      <c r="B164" s="214">
        <v>95.7</v>
      </c>
      <c r="C164" s="214">
        <v>166.3</v>
      </c>
      <c r="D164" s="214">
        <v>64.400000000000006</v>
      </c>
      <c r="E164" s="216">
        <v>52.8</v>
      </c>
      <c r="F164" s="214">
        <v>2140</v>
      </c>
      <c r="G164">
        <v>98</v>
      </c>
      <c r="H164">
        <v>3.19</v>
      </c>
      <c r="I164">
        <v>3.03</v>
      </c>
      <c r="J164" s="214">
        <v>9</v>
      </c>
      <c r="K164" s="214">
        <v>70</v>
      </c>
      <c r="L164">
        <v>4800</v>
      </c>
      <c r="M164">
        <v>28</v>
      </c>
      <c r="N164">
        <v>34</v>
      </c>
      <c r="O164" t="s">
        <v>0</v>
      </c>
      <c r="P164">
        <f t="shared" si="12"/>
        <v>0</v>
      </c>
      <c r="Q164" t="s">
        <v>1</v>
      </c>
      <c r="R164">
        <f t="shared" si="13"/>
        <v>0</v>
      </c>
      <c r="S164" t="s">
        <v>5</v>
      </c>
      <c r="T164">
        <f t="shared" si="14"/>
        <v>1</v>
      </c>
      <c r="U164" t="s">
        <v>6</v>
      </c>
      <c r="V164">
        <f t="shared" si="15"/>
        <v>0</v>
      </c>
      <c r="W164">
        <f t="shared" si="16"/>
        <v>1</v>
      </c>
      <c r="X164" t="s">
        <v>4</v>
      </c>
      <c r="Y164">
        <f t="shared" si="17"/>
        <v>0</v>
      </c>
      <c r="Z164">
        <v>9258</v>
      </c>
    </row>
    <row r="165" spans="1:26">
      <c r="A165">
        <v>1</v>
      </c>
      <c r="B165" s="214">
        <v>94.5</v>
      </c>
      <c r="C165" s="214">
        <v>168.7</v>
      </c>
      <c r="D165" s="214">
        <v>64</v>
      </c>
      <c r="E165" s="216">
        <v>52.6</v>
      </c>
      <c r="F165" s="214">
        <v>2169</v>
      </c>
      <c r="G165">
        <v>98</v>
      </c>
      <c r="H165">
        <v>3.19</v>
      </c>
      <c r="I165">
        <v>3.03</v>
      </c>
      <c r="J165" s="214">
        <v>9</v>
      </c>
      <c r="K165" s="214">
        <v>70</v>
      </c>
      <c r="L165">
        <v>4800</v>
      </c>
      <c r="M165">
        <v>29</v>
      </c>
      <c r="N165">
        <v>34</v>
      </c>
      <c r="O165" t="s">
        <v>0</v>
      </c>
      <c r="P165">
        <f t="shared" si="12"/>
        <v>0</v>
      </c>
      <c r="Q165" t="s">
        <v>1</v>
      </c>
      <c r="R165">
        <f t="shared" si="13"/>
        <v>0</v>
      </c>
      <c r="S165" t="s">
        <v>2</v>
      </c>
      <c r="T165">
        <f t="shared" si="14"/>
        <v>0</v>
      </c>
      <c r="U165" t="s">
        <v>3</v>
      </c>
      <c r="V165">
        <f t="shared" si="15"/>
        <v>0</v>
      </c>
      <c r="W165">
        <f t="shared" si="16"/>
        <v>0</v>
      </c>
      <c r="X165" t="s">
        <v>4</v>
      </c>
      <c r="Y165">
        <f t="shared" si="17"/>
        <v>0</v>
      </c>
      <c r="Z165">
        <v>8058</v>
      </c>
    </row>
    <row r="166" spans="1:26">
      <c r="A166">
        <v>1</v>
      </c>
      <c r="B166" s="214">
        <v>94.5</v>
      </c>
      <c r="C166" s="214">
        <v>168.7</v>
      </c>
      <c r="D166" s="214">
        <v>64</v>
      </c>
      <c r="E166" s="216">
        <v>52.6</v>
      </c>
      <c r="F166" s="214">
        <v>2204</v>
      </c>
      <c r="G166">
        <v>98</v>
      </c>
      <c r="H166">
        <v>3.19</v>
      </c>
      <c r="I166">
        <v>3.03</v>
      </c>
      <c r="J166" s="214">
        <v>9</v>
      </c>
      <c r="K166" s="214">
        <v>70</v>
      </c>
      <c r="L166">
        <v>4800</v>
      </c>
      <c r="M166">
        <v>29</v>
      </c>
      <c r="N166">
        <v>34</v>
      </c>
      <c r="O166" t="s">
        <v>0</v>
      </c>
      <c r="P166">
        <f t="shared" si="12"/>
        <v>0</v>
      </c>
      <c r="Q166" t="s">
        <v>1</v>
      </c>
      <c r="R166">
        <f t="shared" si="13"/>
        <v>0</v>
      </c>
      <c r="S166" t="s">
        <v>2</v>
      </c>
      <c r="T166">
        <f t="shared" si="14"/>
        <v>0</v>
      </c>
      <c r="U166" t="s">
        <v>3</v>
      </c>
      <c r="V166">
        <f t="shared" si="15"/>
        <v>0</v>
      </c>
      <c r="W166">
        <f t="shared" si="16"/>
        <v>0</v>
      </c>
      <c r="X166" t="s">
        <v>4</v>
      </c>
      <c r="Y166">
        <f t="shared" si="17"/>
        <v>0</v>
      </c>
      <c r="Z166">
        <v>8238</v>
      </c>
    </row>
    <row r="167" spans="1:26">
      <c r="A167">
        <v>1</v>
      </c>
      <c r="B167" s="214">
        <v>94.5</v>
      </c>
      <c r="C167" s="214">
        <v>168.7</v>
      </c>
      <c r="D167" s="214">
        <v>64</v>
      </c>
      <c r="E167" s="216">
        <v>52.6</v>
      </c>
      <c r="F167" s="214">
        <v>2265</v>
      </c>
      <c r="G167">
        <v>98</v>
      </c>
      <c r="H167">
        <v>3.24</v>
      </c>
      <c r="I167">
        <v>3.08</v>
      </c>
      <c r="J167" s="214">
        <v>9.4</v>
      </c>
      <c r="K167" s="214">
        <v>112</v>
      </c>
      <c r="L167">
        <v>6600</v>
      </c>
      <c r="M167">
        <v>26</v>
      </c>
      <c r="N167">
        <v>29</v>
      </c>
      <c r="O167" t="s">
        <v>0</v>
      </c>
      <c r="P167">
        <f t="shared" si="12"/>
        <v>0</v>
      </c>
      <c r="Q167" t="s">
        <v>1</v>
      </c>
      <c r="R167">
        <f t="shared" si="13"/>
        <v>0</v>
      </c>
      <c r="S167" t="s">
        <v>2</v>
      </c>
      <c r="T167">
        <f t="shared" si="14"/>
        <v>0</v>
      </c>
      <c r="U167" t="s">
        <v>3</v>
      </c>
      <c r="V167">
        <f t="shared" si="15"/>
        <v>0</v>
      </c>
      <c r="W167">
        <f t="shared" si="16"/>
        <v>0</v>
      </c>
      <c r="X167" t="s">
        <v>4</v>
      </c>
      <c r="Y167">
        <f t="shared" si="17"/>
        <v>0</v>
      </c>
      <c r="Z167">
        <v>9298</v>
      </c>
    </row>
    <row r="168" spans="1:26">
      <c r="A168">
        <v>1</v>
      </c>
      <c r="B168" s="214">
        <v>94.5</v>
      </c>
      <c r="C168" s="214">
        <v>168.7</v>
      </c>
      <c r="D168" s="214">
        <v>64</v>
      </c>
      <c r="E168" s="216">
        <v>52.6</v>
      </c>
      <c r="F168" s="214">
        <v>2300</v>
      </c>
      <c r="G168">
        <v>98</v>
      </c>
      <c r="H168">
        <v>3.24</v>
      </c>
      <c r="I168">
        <v>3.08</v>
      </c>
      <c r="J168" s="214">
        <v>9.4</v>
      </c>
      <c r="K168" s="214">
        <v>112</v>
      </c>
      <c r="L168">
        <v>6600</v>
      </c>
      <c r="M168">
        <v>26</v>
      </c>
      <c r="N168">
        <v>29</v>
      </c>
      <c r="O168" t="s">
        <v>0</v>
      </c>
      <c r="P168">
        <f t="shared" si="12"/>
        <v>0</v>
      </c>
      <c r="Q168" t="s">
        <v>1</v>
      </c>
      <c r="R168">
        <f t="shared" si="13"/>
        <v>0</v>
      </c>
      <c r="S168" t="s">
        <v>2</v>
      </c>
      <c r="T168">
        <f t="shared" si="14"/>
        <v>0</v>
      </c>
      <c r="U168" t="s">
        <v>3</v>
      </c>
      <c r="V168">
        <f t="shared" si="15"/>
        <v>0</v>
      </c>
      <c r="W168">
        <f t="shared" si="16"/>
        <v>0</v>
      </c>
      <c r="X168" t="s">
        <v>4</v>
      </c>
      <c r="Y168">
        <f t="shared" si="17"/>
        <v>0</v>
      </c>
      <c r="Z168">
        <v>9538</v>
      </c>
    </row>
    <row r="169" spans="1:26">
      <c r="A169">
        <v>2</v>
      </c>
      <c r="B169" s="214">
        <v>98.4</v>
      </c>
      <c r="C169" s="214">
        <v>176.2</v>
      </c>
      <c r="D169" s="214">
        <v>65.599999999999994</v>
      </c>
      <c r="E169" s="216">
        <v>52</v>
      </c>
      <c r="F169" s="214">
        <v>2540</v>
      </c>
      <c r="G169">
        <v>146</v>
      </c>
      <c r="H169">
        <v>3.62</v>
      </c>
      <c r="I169">
        <v>3.5</v>
      </c>
      <c r="J169" s="214">
        <v>9.3000000000000007</v>
      </c>
      <c r="K169" s="214">
        <v>116</v>
      </c>
      <c r="L169">
        <v>4800</v>
      </c>
      <c r="M169">
        <v>24</v>
      </c>
      <c r="N169">
        <v>30</v>
      </c>
      <c r="O169" t="s">
        <v>0</v>
      </c>
      <c r="P169">
        <f t="shared" si="12"/>
        <v>0</v>
      </c>
      <c r="Q169" t="s">
        <v>1</v>
      </c>
      <c r="R169">
        <f t="shared" si="13"/>
        <v>0</v>
      </c>
      <c r="S169" t="s">
        <v>2</v>
      </c>
      <c r="T169">
        <f t="shared" si="14"/>
        <v>0</v>
      </c>
      <c r="U169" t="s">
        <v>3</v>
      </c>
      <c r="V169">
        <f t="shared" si="15"/>
        <v>0</v>
      </c>
      <c r="W169">
        <f t="shared" si="16"/>
        <v>0</v>
      </c>
      <c r="X169" t="s">
        <v>4</v>
      </c>
      <c r="Y169">
        <f t="shared" si="17"/>
        <v>0</v>
      </c>
      <c r="Z169">
        <v>8449</v>
      </c>
    </row>
    <row r="170" spans="1:26">
      <c r="A170">
        <v>2</v>
      </c>
      <c r="B170" s="214">
        <v>98.4</v>
      </c>
      <c r="C170" s="214">
        <v>176.2</v>
      </c>
      <c r="D170" s="214">
        <v>65.599999999999994</v>
      </c>
      <c r="E170" s="216">
        <v>52</v>
      </c>
      <c r="F170" s="214">
        <v>2536</v>
      </c>
      <c r="G170">
        <v>146</v>
      </c>
      <c r="H170">
        <v>3.62</v>
      </c>
      <c r="I170">
        <v>3.5</v>
      </c>
      <c r="J170" s="214">
        <v>9.3000000000000007</v>
      </c>
      <c r="K170" s="214">
        <v>116</v>
      </c>
      <c r="L170">
        <v>4800</v>
      </c>
      <c r="M170">
        <v>24</v>
      </c>
      <c r="N170">
        <v>30</v>
      </c>
      <c r="O170" t="s">
        <v>0</v>
      </c>
      <c r="P170">
        <f t="shared" si="12"/>
        <v>0</v>
      </c>
      <c r="Q170" t="s">
        <v>1</v>
      </c>
      <c r="R170">
        <f t="shared" si="13"/>
        <v>0</v>
      </c>
      <c r="S170" t="s">
        <v>2</v>
      </c>
      <c r="T170">
        <f t="shared" si="14"/>
        <v>0</v>
      </c>
      <c r="U170" t="s">
        <v>3</v>
      </c>
      <c r="V170">
        <f t="shared" si="15"/>
        <v>0</v>
      </c>
      <c r="W170">
        <f t="shared" si="16"/>
        <v>0</v>
      </c>
      <c r="X170" t="s">
        <v>4</v>
      </c>
      <c r="Y170">
        <f t="shared" si="17"/>
        <v>0</v>
      </c>
      <c r="Z170">
        <v>9639</v>
      </c>
    </row>
    <row r="171" spans="1:26">
      <c r="A171">
        <v>2</v>
      </c>
      <c r="B171" s="214">
        <v>98.4</v>
      </c>
      <c r="C171" s="214">
        <v>176.2</v>
      </c>
      <c r="D171" s="214">
        <v>65.599999999999994</v>
      </c>
      <c r="E171" s="216">
        <v>52</v>
      </c>
      <c r="F171" s="214">
        <v>2551</v>
      </c>
      <c r="G171">
        <v>146</v>
      </c>
      <c r="H171">
        <v>3.62</v>
      </c>
      <c r="I171">
        <v>3.5</v>
      </c>
      <c r="J171" s="214">
        <v>9.3000000000000007</v>
      </c>
      <c r="K171" s="214">
        <v>116</v>
      </c>
      <c r="L171">
        <v>4800</v>
      </c>
      <c r="M171">
        <v>24</v>
      </c>
      <c r="N171">
        <v>30</v>
      </c>
      <c r="O171" t="s">
        <v>0</v>
      </c>
      <c r="P171">
        <f t="shared" si="12"/>
        <v>0</v>
      </c>
      <c r="Q171" t="s">
        <v>1</v>
      </c>
      <c r="R171">
        <f t="shared" si="13"/>
        <v>0</v>
      </c>
      <c r="S171" t="s">
        <v>2</v>
      </c>
      <c r="T171">
        <f t="shared" si="14"/>
        <v>0</v>
      </c>
      <c r="U171" t="s">
        <v>3</v>
      </c>
      <c r="V171">
        <f t="shared" si="15"/>
        <v>0</v>
      </c>
      <c r="W171">
        <f t="shared" si="16"/>
        <v>0</v>
      </c>
      <c r="X171" t="s">
        <v>4</v>
      </c>
      <c r="Y171">
        <f t="shared" si="17"/>
        <v>0</v>
      </c>
      <c r="Z171">
        <v>9989</v>
      </c>
    </row>
    <row r="172" spans="1:26">
      <c r="A172">
        <v>2</v>
      </c>
      <c r="B172" s="214">
        <v>98.4</v>
      </c>
      <c r="C172" s="214">
        <v>176.2</v>
      </c>
      <c r="D172" s="214">
        <v>65.599999999999994</v>
      </c>
      <c r="E172" s="216">
        <v>52</v>
      </c>
      <c r="F172" s="214">
        <v>2679</v>
      </c>
      <c r="G172">
        <v>146</v>
      </c>
      <c r="H172">
        <v>3.62</v>
      </c>
      <c r="I172">
        <v>3.5</v>
      </c>
      <c r="J172" s="214">
        <v>9.3000000000000007</v>
      </c>
      <c r="K172" s="214">
        <v>116</v>
      </c>
      <c r="L172">
        <v>4800</v>
      </c>
      <c r="M172">
        <v>24</v>
      </c>
      <c r="N172">
        <v>30</v>
      </c>
      <c r="O172" t="s">
        <v>0</v>
      </c>
      <c r="P172">
        <f t="shared" si="12"/>
        <v>0</v>
      </c>
      <c r="Q172" t="s">
        <v>1</v>
      </c>
      <c r="R172">
        <f t="shared" si="13"/>
        <v>0</v>
      </c>
      <c r="S172" t="s">
        <v>2</v>
      </c>
      <c r="T172">
        <f t="shared" si="14"/>
        <v>0</v>
      </c>
      <c r="U172" t="s">
        <v>3</v>
      </c>
      <c r="V172">
        <f t="shared" si="15"/>
        <v>0</v>
      </c>
      <c r="W172">
        <f t="shared" si="16"/>
        <v>0</v>
      </c>
      <c r="X172" t="s">
        <v>4</v>
      </c>
      <c r="Y172">
        <f t="shared" si="17"/>
        <v>0</v>
      </c>
      <c r="Z172">
        <v>11199</v>
      </c>
    </row>
    <row r="173" spans="1:26">
      <c r="A173">
        <v>2</v>
      </c>
      <c r="B173" s="214">
        <v>98.4</v>
      </c>
      <c r="C173" s="214">
        <v>176.2</v>
      </c>
      <c r="D173" s="214">
        <v>65.599999999999994</v>
      </c>
      <c r="E173" s="216">
        <v>52</v>
      </c>
      <c r="F173" s="214">
        <v>2714</v>
      </c>
      <c r="G173">
        <v>146</v>
      </c>
      <c r="H173">
        <v>3.62</v>
      </c>
      <c r="I173">
        <v>3.5</v>
      </c>
      <c r="J173" s="214">
        <v>9.3000000000000007</v>
      </c>
      <c r="K173" s="214">
        <v>116</v>
      </c>
      <c r="L173">
        <v>4800</v>
      </c>
      <c r="M173">
        <v>24</v>
      </c>
      <c r="N173">
        <v>30</v>
      </c>
      <c r="O173" t="s">
        <v>0</v>
      </c>
      <c r="P173">
        <f t="shared" si="12"/>
        <v>0</v>
      </c>
      <c r="Q173" t="s">
        <v>1</v>
      </c>
      <c r="R173">
        <f t="shared" si="13"/>
        <v>0</v>
      </c>
      <c r="S173" t="s">
        <v>2</v>
      </c>
      <c r="T173">
        <f t="shared" si="14"/>
        <v>0</v>
      </c>
      <c r="U173" t="s">
        <v>3</v>
      </c>
      <c r="V173">
        <f t="shared" si="15"/>
        <v>0</v>
      </c>
      <c r="W173">
        <f t="shared" si="16"/>
        <v>0</v>
      </c>
      <c r="X173" t="s">
        <v>4</v>
      </c>
      <c r="Y173">
        <f t="shared" si="17"/>
        <v>0</v>
      </c>
      <c r="Z173">
        <v>11549</v>
      </c>
    </row>
    <row r="174" spans="1:26">
      <c r="A174">
        <v>2</v>
      </c>
      <c r="B174" s="214">
        <v>98.4</v>
      </c>
      <c r="C174" s="214">
        <v>176.2</v>
      </c>
      <c r="D174" s="214">
        <v>65.599999999999994</v>
      </c>
      <c r="E174" s="216">
        <v>53</v>
      </c>
      <c r="F174" s="214">
        <v>2975</v>
      </c>
      <c r="G174">
        <v>146</v>
      </c>
      <c r="H174">
        <v>3.62</v>
      </c>
      <c r="I174">
        <v>3.5</v>
      </c>
      <c r="J174" s="214">
        <v>9.3000000000000007</v>
      </c>
      <c r="K174" s="214">
        <v>116</v>
      </c>
      <c r="L174">
        <v>4800</v>
      </c>
      <c r="M174">
        <v>24</v>
      </c>
      <c r="N174">
        <v>30</v>
      </c>
      <c r="O174" t="s">
        <v>0</v>
      </c>
      <c r="P174">
        <f t="shared" si="12"/>
        <v>0</v>
      </c>
      <c r="Q174" t="s">
        <v>1</v>
      </c>
      <c r="R174">
        <f t="shared" si="13"/>
        <v>0</v>
      </c>
      <c r="S174" t="s">
        <v>2</v>
      </c>
      <c r="T174">
        <f t="shared" si="14"/>
        <v>0</v>
      </c>
      <c r="U174" t="s">
        <v>3</v>
      </c>
      <c r="V174">
        <f t="shared" si="15"/>
        <v>0</v>
      </c>
      <c r="W174">
        <f t="shared" si="16"/>
        <v>0</v>
      </c>
      <c r="X174" t="s">
        <v>4</v>
      </c>
      <c r="Y174">
        <f t="shared" si="17"/>
        <v>0</v>
      </c>
      <c r="Z174">
        <v>17669</v>
      </c>
    </row>
    <row r="175" spans="1:26">
      <c r="A175">
        <v>-1</v>
      </c>
      <c r="B175" s="214">
        <v>102.4</v>
      </c>
      <c r="C175" s="214">
        <v>175.6</v>
      </c>
      <c r="D175" s="214">
        <v>66.5</v>
      </c>
      <c r="E175" s="216">
        <v>54.9</v>
      </c>
      <c r="F175" s="214">
        <v>2326</v>
      </c>
      <c r="G175">
        <v>122</v>
      </c>
      <c r="H175">
        <v>3.31</v>
      </c>
      <c r="I175">
        <v>3.54</v>
      </c>
      <c r="J175" s="214">
        <v>8.6999999999999993</v>
      </c>
      <c r="K175" s="214">
        <v>92</v>
      </c>
      <c r="L175">
        <v>4200</v>
      </c>
      <c r="M175">
        <v>29</v>
      </c>
      <c r="N175">
        <v>34</v>
      </c>
      <c r="O175" t="s">
        <v>0</v>
      </c>
      <c r="P175">
        <f t="shared" si="12"/>
        <v>0</v>
      </c>
      <c r="Q175" t="s">
        <v>1</v>
      </c>
      <c r="R175">
        <f t="shared" si="13"/>
        <v>0</v>
      </c>
      <c r="S175" t="s">
        <v>5</v>
      </c>
      <c r="T175">
        <f t="shared" si="14"/>
        <v>1</v>
      </c>
      <c r="U175" t="s">
        <v>6</v>
      </c>
      <c r="V175">
        <f t="shared" si="15"/>
        <v>0</v>
      </c>
      <c r="W175">
        <f t="shared" si="16"/>
        <v>1</v>
      </c>
      <c r="X175" t="s">
        <v>4</v>
      </c>
      <c r="Y175">
        <f t="shared" si="17"/>
        <v>0</v>
      </c>
      <c r="Z175">
        <v>8948</v>
      </c>
    </row>
    <row r="176" spans="1:26">
      <c r="A176">
        <v>-1</v>
      </c>
      <c r="B176" s="214">
        <v>102.4</v>
      </c>
      <c r="C176" s="214">
        <v>175.6</v>
      </c>
      <c r="D176" s="214">
        <v>66.5</v>
      </c>
      <c r="E176" s="216">
        <v>54.9</v>
      </c>
      <c r="F176" s="214">
        <v>2480</v>
      </c>
      <c r="G176">
        <v>110</v>
      </c>
      <c r="H176">
        <v>3.27</v>
      </c>
      <c r="I176">
        <v>3.35</v>
      </c>
      <c r="J176" s="214">
        <v>22.5</v>
      </c>
      <c r="K176" s="214">
        <v>73</v>
      </c>
      <c r="L176">
        <v>4500</v>
      </c>
      <c r="M176">
        <v>30</v>
      </c>
      <c r="N176">
        <v>33</v>
      </c>
      <c r="O176" t="s">
        <v>9</v>
      </c>
      <c r="P176">
        <f t="shared" si="12"/>
        <v>1</v>
      </c>
      <c r="Q176" t="s">
        <v>8</v>
      </c>
      <c r="R176">
        <f t="shared" si="13"/>
        <v>1</v>
      </c>
      <c r="S176" t="s">
        <v>5</v>
      </c>
      <c r="T176">
        <f t="shared" si="14"/>
        <v>1</v>
      </c>
      <c r="U176" t="s">
        <v>6</v>
      </c>
      <c r="V176">
        <f t="shared" si="15"/>
        <v>0</v>
      </c>
      <c r="W176">
        <f t="shared" si="16"/>
        <v>1</v>
      </c>
      <c r="X176" t="s">
        <v>4</v>
      </c>
      <c r="Y176">
        <f t="shared" si="17"/>
        <v>0</v>
      </c>
      <c r="Z176">
        <v>10698</v>
      </c>
    </row>
    <row r="177" spans="1:26">
      <c r="A177">
        <v>-1</v>
      </c>
      <c r="B177" s="214">
        <v>102.4</v>
      </c>
      <c r="C177" s="214">
        <v>175.6</v>
      </c>
      <c r="D177" s="214">
        <v>66.5</v>
      </c>
      <c r="E177" s="216">
        <v>53.9</v>
      </c>
      <c r="F177" s="214">
        <v>2414</v>
      </c>
      <c r="G177">
        <v>122</v>
      </c>
      <c r="H177">
        <v>3.31</v>
      </c>
      <c r="I177">
        <v>3.54</v>
      </c>
      <c r="J177" s="214">
        <v>8.6999999999999993</v>
      </c>
      <c r="K177" s="214">
        <v>92</v>
      </c>
      <c r="L177">
        <v>4200</v>
      </c>
      <c r="M177">
        <v>27</v>
      </c>
      <c r="N177">
        <v>32</v>
      </c>
      <c r="O177" t="s">
        <v>0</v>
      </c>
      <c r="P177">
        <f t="shared" si="12"/>
        <v>0</v>
      </c>
      <c r="Q177" t="s">
        <v>1</v>
      </c>
      <c r="R177">
        <f t="shared" si="13"/>
        <v>0</v>
      </c>
      <c r="S177" t="s">
        <v>5</v>
      </c>
      <c r="T177">
        <f t="shared" si="14"/>
        <v>1</v>
      </c>
      <c r="U177" t="s">
        <v>6</v>
      </c>
      <c r="V177">
        <f t="shared" si="15"/>
        <v>0</v>
      </c>
      <c r="W177">
        <f t="shared" si="16"/>
        <v>1</v>
      </c>
      <c r="X177" t="s">
        <v>4</v>
      </c>
      <c r="Y177">
        <f t="shared" si="17"/>
        <v>0</v>
      </c>
      <c r="Z177">
        <v>9988</v>
      </c>
    </row>
    <row r="178" spans="1:26">
      <c r="A178">
        <v>-1</v>
      </c>
      <c r="B178" s="214">
        <v>102.4</v>
      </c>
      <c r="C178" s="214">
        <v>175.6</v>
      </c>
      <c r="D178" s="214">
        <v>66.5</v>
      </c>
      <c r="E178" s="216">
        <v>54.9</v>
      </c>
      <c r="F178" s="214">
        <v>2414</v>
      </c>
      <c r="G178">
        <v>122</v>
      </c>
      <c r="H178">
        <v>3.31</v>
      </c>
      <c r="I178">
        <v>3.54</v>
      </c>
      <c r="J178" s="214">
        <v>8.6999999999999993</v>
      </c>
      <c r="K178" s="214">
        <v>92</v>
      </c>
      <c r="L178">
        <v>4200</v>
      </c>
      <c r="M178">
        <v>27</v>
      </c>
      <c r="N178">
        <v>32</v>
      </c>
      <c r="O178" t="s">
        <v>0</v>
      </c>
      <c r="P178">
        <f t="shared" si="12"/>
        <v>0</v>
      </c>
      <c r="Q178" t="s">
        <v>1</v>
      </c>
      <c r="R178">
        <f t="shared" si="13"/>
        <v>0</v>
      </c>
      <c r="S178" t="s">
        <v>5</v>
      </c>
      <c r="T178">
        <f t="shared" si="14"/>
        <v>1</v>
      </c>
      <c r="U178" t="s">
        <v>6</v>
      </c>
      <c r="V178">
        <f t="shared" si="15"/>
        <v>0</v>
      </c>
      <c r="W178">
        <f t="shared" si="16"/>
        <v>1</v>
      </c>
      <c r="X178" t="s">
        <v>4</v>
      </c>
      <c r="Y178">
        <f t="shared" si="17"/>
        <v>0</v>
      </c>
      <c r="Z178">
        <v>10898</v>
      </c>
    </row>
    <row r="179" spans="1:26">
      <c r="A179">
        <v>-1</v>
      </c>
      <c r="B179" s="214">
        <v>102.4</v>
      </c>
      <c r="C179" s="214">
        <v>175.6</v>
      </c>
      <c r="D179" s="214">
        <v>66.5</v>
      </c>
      <c r="E179" s="216">
        <v>53.9</v>
      </c>
      <c r="F179" s="214">
        <v>2458</v>
      </c>
      <c r="G179">
        <v>122</v>
      </c>
      <c r="H179">
        <v>3.31</v>
      </c>
      <c r="I179">
        <v>3.54</v>
      </c>
      <c r="J179" s="214">
        <v>8.6999999999999993</v>
      </c>
      <c r="K179" s="214">
        <v>92</v>
      </c>
      <c r="L179">
        <v>4200</v>
      </c>
      <c r="M179">
        <v>27</v>
      </c>
      <c r="N179">
        <v>32</v>
      </c>
      <c r="O179" t="s">
        <v>0</v>
      </c>
      <c r="P179">
        <f t="shared" si="12"/>
        <v>0</v>
      </c>
      <c r="Q179" t="s">
        <v>1</v>
      </c>
      <c r="R179">
        <f t="shared" si="13"/>
        <v>0</v>
      </c>
      <c r="S179" t="s">
        <v>5</v>
      </c>
      <c r="T179">
        <f t="shared" si="14"/>
        <v>1</v>
      </c>
      <c r="U179" t="s">
        <v>6</v>
      </c>
      <c r="V179">
        <f t="shared" si="15"/>
        <v>0</v>
      </c>
      <c r="W179">
        <f t="shared" si="16"/>
        <v>1</v>
      </c>
      <c r="X179" t="s">
        <v>4</v>
      </c>
      <c r="Y179">
        <f t="shared" si="17"/>
        <v>0</v>
      </c>
      <c r="Z179">
        <v>11248</v>
      </c>
    </row>
    <row r="180" spans="1:26">
      <c r="A180">
        <v>3</v>
      </c>
      <c r="B180" s="214">
        <v>102.9</v>
      </c>
      <c r="C180" s="214">
        <v>183.5</v>
      </c>
      <c r="D180" s="214">
        <v>67.7</v>
      </c>
      <c r="E180" s="216">
        <v>52</v>
      </c>
      <c r="F180" s="214">
        <v>2976</v>
      </c>
      <c r="G180">
        <v>171</v>
      </c>
      <c r="H180">
        <v>3.27</v>
      </c>
      <c r="I180">
        <v>3.35</v>
      </c>
      <c r="J180" s="214">
        <v>9.3000000000000007</v>
      </c>
      <c r="K180" s="214">
        <v>161</v>
      </c>
      <c r="L180">
        <v>5200</v>
      </c>
      <c r="M180">
        <v>20</v>
      </c>
      <c r="N180">
        <v>24</v>
      </c>
      <c r="O180" t="s">
        <v>0</v>
      </c>
      <c r="P180">
        <f t="shared" si="12"/>
        <v>0</v>
      </c>
      <c r="Q180" t="s">
        <v>1</v>
      </c>
      <c r="R180">
        <f t="shared" si="13"/>
        <v>0</v>
      </c>
      <c r="S180" t="s">
        <v>2</v>
      </c>
      <c r="T180">
        <f t="shared" si="14"/>
        <v>0</v>
      </c>
      <c r="U180" t="s">
        <v>3</v>
      </c>
      <c r="V180">
        <f t="shared" si="15"/>
        <v>0</v>
      </c>
      <c r="W180">
        <f t="shared" si="16"/>
        <v>0</v>
      </c>
      <c r="X180" t="s">
        <v>4</v>
      </c>
      <c r="Y180">
        <f t="shared" si="17"/>
        <v>0</v>
      </c>
      <c r="Z180">
        <v>16558</v>
      </c>
    </row>
    <row r="181" spans="1:26">
      <c r="A181">
        <v>3</v>
      </c>
      <c r="B181" s="214">
        <v>102.9</v>
      </c>
      <c r="C181" s="214">
        <v>183.5</v>
      </c>
      <c r="D181" s="214">
        <v>67.7</v>
      </c>
      <c r="E181" s="216">
        <v>52</v>
      </c>
      <c r="F181" s="214">
        <v>3016</v>
      </c>
      <c r="G181">
        <v>171</v>
      </c>
      <c r="H181">
        <v>3.27</v>
      </c>
      <c r="I181">
        <v>3.35</v>
      </c>
      <c r="J181" s="214">
        <v>9.3000000000000007</v>
      </c>
      <c r="K181" s="214">
        <v>161</v>
      </c>
      <c r="L181">
        <v>5200</v>
      </c>
      <c r="M181">
        <v>19</v>
      </c>
      <c r="N181">
        <v>24</v>
      </c>
      <c r="O181" t="s">
        <v>0</v>
      </c>
      <c r="P181">
        <f t="shared" si="12"/>
        <v>0</v>
      </c>
      <c r="Q181" t="s">
        <v>1</v>
      </c>
      <c r="R181">
        <f t="shared" si="13"/>
        <v>0</v>
      </c>
      <c r="S181" t="s">
        <v>2</v>
      </c>
      <c r="T181">
        <f t="shared" si="14"/>
        <v>0</v>
      </c>
      <c r="U181" t="s">
        <v>3</v>
      </c>
      <c r="V181">
        <f t="shared" si="15"/>
        <v>0</v>
      </c>
      <c r="W181">
        <f t="shared" si="16"/>
        <v>0</v>
      </c>
      <c r="X181" t="s">
        <v>4</v>
      </c>
      <c r="Y181">
        <f t="shared" si="17"/>
        <v>0</v>
      </c>
      <c r="Z181">
        <v>15998</v>
      </c>
    </row>
    <row r="182" spans="1:26">
      <c r="A182">
        <v>-1</v>
      </c>
      <c r="B182" s="214">
        <v>104.5</v>
      </c>
      <c r="C182" s="214">
        <v>187.8</v>
      </c>
      <c r="D182" s="214">
        <v>66.5</v>
      </c>
      <c r="E182" s="216">
        <v>54.1</v>
      </c>
      <c r="F182" s="214">
        <v>3131</v>
      </c>
      <c r="G182">
        <v>171</v>
      </c>
      <c r="H182">
        <v>3.27</v>
      </c>
      <c r="I182">
        <v>3.35</v>
      </c>
      <c r="J182" s="214">
        <v>9.1999999999999993</v>
      </c>
      <c r="K182" s="214">
        <v>156</v>
      </c>
      <c r="L182">
        <v>5200</v>
      </c>
      <c r="M182">
        <v>20</v>
      </c>
      <c r="N182">
        <v>24</v>
      </c>
      <c r="O182" t="s">
        <v>0</v>
      </c>
      <c r="P182">
        <f t="shared" si="12"/>
        <v>0</v>
      </c>
      <c r="Q182" t="s">
        <v>1</v>
      </c>
      <c r="R182">
        <f t="shared" si="13"/>
        <v>0</v>
      </c>
      <c r="S182" t="s">
        <v>5</v>
      </c>
      <c r="T182">
        <f t="shared" si="14"/>
        <v>1</v>
      </c>
      <c r="U182" t="s">
        <v>3</v>
      </c>
      <c r="V182">
        <f t="shared" si="15"/>
        <v>0</v>
      </c>
      <c r="W182">
        <f t="shared" si="16"/>
        <v>0</v>
      </c>
      <c r="X182" t="s">
        <v>4</v>
      </c>
      <c r="Y182">
        <f t="shared" si="17"/>
        <v>0</v>
      </c>
      <c r="Z182">
        <v>15690</v>
      </c>
    </row>
    <row r="183" spans="1:26">
      <c r="A183">
        <v>-1</v>
      </c>
      <c r="B183" s="214">
        <v>104.5</v>
      </c>
      <c r="C183" s="214">
        <v>187.8</v>
      </c>
      <c r="D183" s="214">
        <v>66.5</v>
      </c>
      <c r="E183" s="216">
        <v>54.1</v>
      </c>
      <c r="F183" s="214">
        <v>3151</v>
      </c>
      <c r="G183">
        <v>161</v>
      </c>
      <c r="H183">
        <v>3.27</v>
      </c>
      <c r="I183">
        <v>3.35</v>
      </c>
      <c r="J183" s="214">
        <v>9.1999999999999993</v>
      </c>
      <c r="K183" s="214">
        <v>156</v>
      </c>
      <c r="L183">
        <v>5200</v>
      </c>
      <c r="M183">
        <v>19</v>
      </c>
      <c r="N183">
        <v>24</v>
      </c>
      <c r="O183" t="s">
        <v>0</v>
      </c>
      <c r="P183">
        <f t="shared" si="12"/>
        <v>0</v>
      </c>
      <c r="Q183" t="s">
        <v>1</v>
      </c>
      <c r="R183">
        <f t="shared" si="13"/>
        <v>0</v>
      </c>
      <c r="S183" t="s">
        <v>5</v>
      </c>
      <c r="T183">
        <f t="shared" si="14"/>
        <v>1</v>
      </c>
      <c r="U183" t="s">
        <v>3</v>
      </c>
      <c r="V183">
        <f t="shared" si="15"/>
        <v>0</v>
      </c>
      <c r="W183">
        <f t="shared" si="16"/>
        <v>0</v>
      </c>
      <c r="X183" t="s">
        <v>4</v>
      </c>
      <c r="Y183">
        <f t="shared" si="17"/>
        <v>0</v>
      </c>
      <c r="Z183">
        <v>15750</v>
      </c>
    </row>
    <row r="184" spans="1:26">
      <c r="A184">
        <v>2</v>
      </c>
      <c r="B184" s="214">
        <v>97.3</v>
      </c>
      <c r="C184" s="214">
        <v>171.7</v>
      </c>
      <c r="D184" s="214">
        <v>65.5</v>
      </c>
      <c r="E184" s="216">
        <v>55.7</v>
      </c>
      <c r="F184" s="214">
        <v>2261</v>
      </c>
      <c r="G184">
        <v>97</v>
      </c>
      <c r="H184">
        <v>3.01</v>
      </c>
      <c r="I184">
        <v>3.4</v>
      </c>
      <c r="J184" s="214">
        <v>23</v>
      </c>
      <c r="K184" s="214">
        <v>52</v>
      </c>
      <c r="L184">
        <v>4800</v>
      </c>
      <c r="M184">
        <v>37</v>
      </c>
      <c r="N184">
        <v>46</v>
      </c>
      <c r="O184" t="s">
        <v>9</v>
      </c>
      <c r="P184">
        <f t="shared" si="12"/>
        <v>1</v>
      </c>
      <c r="Q184" t="s">
        <v>1</v>
      </c>
      <c r="R184">
        <f t="shared" si="13"/>
        <v>0</v>
      </c>
      <c r="S184" t="s">
        <v>2</v>
      </c>
      <c r="T184">
        <f t="shared" si="14"/>
        <v>0</v>
      </c>
      <c r="U184" t="s">
        <v>6</v>
      </c>
      <c r="V184">
        <f t="shared" si="15"/>
        <v>0</v>
      </c>
      <c r="W184">
        <f t="shared" si="16"/>
        <v>1</v>
      </c>
      <c r="X184" t="s">
        <v>4</v>
      </c>
      <c r="Y184">
        <f t="shared" si="17"/>
        <v>0</v>
      </c>
      <c r="Z184">
        <v>7775</v>
      </c>
    </row>
    <row r="185" spans="1:26">
      <c r="A185">
        <v>2</v>
      </c>
      <c r="B185" s="214">
        <v>97.3</v>
      </c>
      <c r="C185" s="214">
        <v>171.7</v>
      </c>
      <c r="D185" s="214">
        <v>65.5</v>
      </c>
      <c r="E185" s="216">
        <v>55.7</v>
      </c>
      <c r="F185" s="214">
        <v>2209</v>
      </c>
      <c r="G185">
        <v>109</v>
      </c>
      <c r="H185">
        <v>3.19</v>
      </c>
      <c r="I185">
        <v>3.4</v>
      </c>
      <c r="J185" s="214">
        <v>9</v>
      </c>
      <c r="K185" s="214">
        <v>85</v>
      </c>
      <c r="L185">
        <v>5250</v>
      </c>
      <c r="M185">
        <v>27</v>
      </c>
      <c r="N185">
        <v>34</v>
      </c>
      <c r="O185" t="s">
        <v>0</v>
      </c>
      <c r="P185">
        <f t="shared" si="12"/>
        <v>0</v>
      </c>
      <c r="Q185" t="s">
        <v>1</v>
      </c>
      <c r="R185">
        <f t="shared" si="13"/>
        <v>0</v>
      </c>
      <c r="S185" t="s">
        <v>2</v>
      </c>
      <c r="T185">
        <f t="shared" si="14"/>
        <v>0</v>
      </c>
      <c r="U185" t="s">
        <v>6</v>
      </c>
      <c r="V185">
        <f t="shared" si="15"/>
        <v>0</v>
      </c>
      <c r="W185">
        <f t="shared" si="16"/>
        <v>1</v>
      </c>
      <c r="X185" t="s">
        <v>4</v>
      </c>
      <c r="Y185">
        <f t="shared" si="17"/>
        <v>0</v>
      </c>
      <c r="Z185">
        <v>7975</v>
      </c>
    </row>
    <row r="186" spans="1:26">
      <c r="A186">
        <v>2</v>
      </c>
      <c r="B186" s="214">
        <v>97.3</v>
      </c>
      <c r="C186" s="214">
        <v>171.7</v>
      </c>
      <c r="D186" s="214">
        <v>65.5</v>
      </c>
      <c r="E186" s="216">
        <v>55.7</v>
      </c>
      <c r="F186" s="214">
        <v>2264</v>
      </c>
      <c r="G186">
        <v>97</v>
      </c>
      <c r="H186">
        <v>3.01</v>
      </c>
      <c r="I186">
        <v>3.4</v>
      </c>
      <c r="J186" s="214">
        <v>23</v>
      </c>
      <c r="K186" s="214">
        <v>52</v>
      </c>
      <c r="L186">
        <v>4800</v>
      </c>
      <c r="M186">
        <v>37</v>
      </c>
      <c r="N186">
        <v>46</v>
      </c>
      <c r="O186" t="s">
        <v>9</v>
      </c>
      <c r="P186">
        <f t="shared" si="12"/>
        <v>1</v>
      </c>
      <c r="Q186" t="s">
        <v>1</v>
      </c>
      <c r="R186">
        <f t="shared" si="13"/>
        <v>0</v>
      </c>
      <c r="S186" t="s">
        <v>5</v>
      </c>
      <c r="T186">
        <f t="shared" si="14"/>
        <v>1</v>
      </c>
      <c r="U186" t="s">
        <v>6</v>
      </c>
      <c r="V186">
        <f t="shared" si="15"/>
        <v>0</v>
      </c>
      <c r="W186">
        <f t="shared" si="16"/>
        <v>1</v>
      </c>
      <c r="X186" t="s">
        <v>4</v>
      </c>
      <c r="Y186">
        <f t="shared" si="17"/>
        <v>0</v>
      </c>
      <c r="Z186">
        <v>7995</v>
      </c>
    </row>
    <row r="187" spans="1:26">
      <c r="A187">
        <v>2</v>
      </c>
      <c r="B187" s="214">
        <v>97.3</v>
      </c>
      <c r="C187" s="214">
        <v>171.7</v>
      </c>
      <c r="D187" s="214">
        <v>65.5</v>
      </c>
      <c r="E187" s="216">
        <v>55.7</v>
      </c>
      <c r="F187" s="214">
        <v>2212</v>
      </c>
      <c r="G187">
        <v>109</v>
      </c>
      <c r="H187">
        <v>3.19</v>
      </c>
      <c r="I187">
        <v>3.4</v>
      </c>
      <c r="J187" s="214">
        <v>9</v>
      </c>
      <c r="K187" s="214">
        <v>85</v>
      </c>
      <c r="L187">
        <v>5250</v>
      </c>
      <c r="M187">
        <v>27</v>
      </c>
      <c r="N187">
        <v>34</v>
      </c>
      <c r="O187" t="s">
        <v>0</v>
      </c>
      <c r="P187">
        <f t="shared" si="12"/>
        <v>0</v>
      </c>
      <c r="Q187" t="s">
        <v>1</v>
      </c>
      <c r="R187">
        <f t="shared" si="13"/>
        <v>0</v>
      </c>
      <c r="S187" t="s">
        <v>5</v>
      </c>
      <c r="T187">
        <f t="shared" si="14"/>
        <v>1</v>
      </c>
      <c r="U187" t="s">
        <v>6</v>
      </c>
      <c r="V187">
        <f t="shared" si="15"/>
        <v>0</v>
      </c>
      <c r="W187">
        <f t="shared" si="16"/>
        <v>1</v>
      </c>
      <c r="X187" t="s">
        <v>4</v>
      </c>
      <c r="Y187">
        <f t="shared" si="17"/>
        <v>0</v>
      </c>
      <c r="Z187">
        <v>8195</v>
      </c>
    </row>
    <row r="188" spans="1:26">
      <c r="A188">
        <v>2</v>
      </c>
      <c r="B188" s="214">
        <v>97.3</v>
      </c>
      <c r="C188" s="214">
        <v>171.7</v>
      </c>
      <c r="D188" s="214">
        <v>65.5</v>
      </c>
      <c r="E188" s="216">
        <v>55.7</v>
      </c>
      <c r="F188" s="214">
        <v>2275</v>
      </c>
      <c r="G188">
        <v>109</v>
      </c>
      <c r="H188">
        <v>3.19</v>
      </c>
      <c r="I188">
        <v>3.4</v>
      </c>
      <c r="J188" s="214">
        <v>9</v>
      </c>
      <c r="K188" s="214">
        <v>85</v>
      </c>
      <c r="L188">
        <v>5250</v>
      </c>
      <c r="M188">
        <v>27</v>
      </c>
      <c r="N188">
        <v>34</v>
      </c>
      <c r="O188" t="s">
        <v>0</v>
      </c>
      <c r="P188">
        <f t="shared" si="12"/>
        <v>0</v>
      </c>
      <c r="Q188" t="s">
        <v>1</v>
      </c>
      <c r="R188">
        <f t="shared" si="13"/>
        <v>0</v>
      </c>
      <c r="S188" t="s">
        <v>5</v>
      </c>
      <c r="T188">
        <f t="shared" si="14"/>
        <v>1</v>
      </c>
      <c r="U188" t="s">
        <v>6</v>
      </c>
      <c r="V188">
        <f t="shared" si="15"/>
        <v>0</v>
      </c>
      <c r="W188">
        <f t="shared" si="16"/>
        <v>1</v>
      </c>
      <c r="X188" t="s">
        <v>4</v>
      </c>
      <c r="Y188">
        <f t="shared" si="17"/>
        <v>0</v>
      </c>
      <c r="Z188">
        <v>8495</v>
      </c>
    </row>
    <row r="189" spans="1:26">
      <c r="A189">
        <v>2</v>
      </c>
      <c r="B189" s="214">
        <v>97.3</v>
      </c>
      <c r="C189" s="214">
        <v>171.7</v>
      </c>
      <c r="D189" s="214">
        <v>65.5</v>
      </c>
      <c r="E189" s="216">
        <v>55.7</v>
      </c>
      <c r="F189" s="214">
        <v>2319</v>
      </c>
      <c r="G189">
        <v>97</v>
      </c>
      <c r="H189">
        <v>3.01</v>
      </c>
      <c r="I189">
        <v>3.4</v>
      </c>
      <c r="J189" s="214">
        <v>23</v>
      </c>
      <c r="K189" s="214">
        <v>68</v>
      </c>
      <c r="L189">
        <v>4500</v>
      </c>
      <c r="M189">
        <v>37</v>
      </c>
      <c r="N189">
        <v>42</v>
      </c>
      <c r="O189" t="s">
        <v>9</v>
      </c>
      <c r="P189">
        <f t="shared" si="12"/>
        <v>1</v>
      </c>
      <c r="Q189" t="s">
        <v>8</v>
      </c>
      <c r="R189">
        <f t="shared" si="13"/>
        <v>1</v>
      </c>
      <c r="S189" t="s">
        <v>5</v>
      </c>
      <c r="T189">
        <f t="shared" si="14"/>
        <v>1</v>
      </c>
      <c r="U189" t="s">
        <v>6</v>
      </c>
      <c r="V189">
        <f t="shared" si="15"/>
        <v>0</v>
      </c>
      <c r="W189">
        <f t="shared" si="16"/>
        <v>1</v>
      </c>
      <c r="X189" t="s">
        <v>4</v>
      </c>
      <c r="Y189">
        <f t="shared" si="17"/>
        <v>0</v>
      </c>
      <c r="Z189">
        <v>9495</v>
      </c>
    </row>
    <row r="190" spans="1:26">
      <c r="A190">
        <v>2</v>
      </c>
      <c r="B190" s="214">
        <v>97.3</v>
      </c>
      <c r="C190" s="214">
        <v>171.7</v>
      </c>
      <c r="D190" s="214">
        <v>65.5</v>
      </c>
      <c r="E190" s="216">
        <v>55.7</v>
      </c>
      <c r="F190" s="214">
        <v>2300</v>
      </c>
      <c r="G190">
        <v>109</v>
      </c>
      <c r="H190">
        <v>3.19</v>
      </c>
      <c r="I190">
        <v>3.4</v>
      </c>
      <c r="J190" s="214">
        <v>10</v>
      </c>
      <c r="K190" s="214">
        <v>100</v>
      </c>
      <c r="L190">
        <v>5500</v>
      </c>
      <c r="M190">
        <v>26</v>
      </c>
      <c r="N190">
        <v>32</v>
      </c>
      <c r="O190" t="s">
        <v>0</v>
      </c>
      <c r="P190">
        <f t="shared" si="12"/>
        <v>0</v>
      </c>
      <c r="Q190" t="s">
        <v>1</v>
      </c>
      <c r="R190">
        <f t="shared" si="13"/>
        <v>0</v>
      </c>
      <c r="S190" t="s">
        <v>5</v>
      </c>
      <c r="T190">
        <f t="shared" si="14"/>
        <v>1</v>
      </c>
      <c r="U190" t="s">
        <v>6</v>
      </c>
      <c r="V190">
        <f t="shared" si="15"/>
        <v>0</v>
      </c>
      <c r="W190">
        <f t="shared" si="16"/>
        <v>1</v>
      </c>
      <c r="X190" t="s">
        <v>4</v>
      </c>
      <c r="Y190">
        <f t="shared" si="17"/>
        <v>0</v>
      </c>
      <c r="Z190">
        <v>9995</v>
      </c>
    </row>
    <row r="191" spans="1:26">
      <c r="A191">
        <v>3</v>
      </c>
      <c r="B191" s="214">
        <v>94.5</v>
      </c>
      <c r="C191" s="214">
        <v>159.30000000000001</v>
      </c>
      <c r="D191" s="214">
        <v>64.2</v>
      </c>
      <c r="E191" s="216">
        <v>55.6</v>
      </c>
      <c r="F191" s="214">
        <v>2254</v>
      </c>
      <c r="G191">
        <v>109</v>
      </c>
      <c r="H191">
        <v>3.19</v>
      </c>
      <c r="I191">
        <v>3.4</v>
      </c>
      <c r="J191" s="214">
        <v>8.5</v>
      </c>
      <c r="K191" s="214">
        <v>90</v>
      </c>
      <c r="L191">
        <v>5500</v>
      </c>
      <c r="M191">
        <v>24</v>
      </c>
      <c r="N191">
        <v>29</v>
      </c>
      <c r="O191" t="s">
        <v>0</v>
      </c>
      <c r="P191">
        <f t="shared" si="12"/>
        <v>0</v>
      </c>
      <c r="Q191" t="s">
        <v>1</v>
      </c>
      <c r="R191">
        <f t="shared" si="13"/>
        <v>0</v>
      </c>
      <c r="S191" t="s">
        <v>2</v>
      </c>
      <c r="T191">
        <f t="shared" si="14"/>
        <v>0</v>
      </c>
      <c r="U191" t="s">
        <v>6</v>
      </c>
      <c r="V191">
        <f t="shared" si="15"/>
        <v>0</v>
      </c>
      <c r="W191">
        <f t="shared" si="16"/>
        <v>1</v>
      </c>
      <c r="X191" t="s">
        <v>4</v>
      </c>
      <c r="Y191">
        <f t="shared" si="17"/>
        <v>0</v>
      </c>
      <c r="Z191">
        <v>11595</v>
      </c>
    </row>
    <row r="192" spans="1:26">
      <c r="A192">
        <v>3</v>
      </c>
      <c r="B192" s="214">
        <v>94.5</v>
      </c>
      <c r="C192" s="214">
        <v>165.7</v>
      </c>
      <c r="D192" s="214">
        <v>64</v>
      </c>
      <c r="E192" s="216">
        <v>51.4</v>
      </c>
      <c r="F192" s="214">
        <v>2221</v>
      </c>
      <c r="G192">
        <v>109</v>
      </c>
      <c r="H192">
        <v>3.19</v>
      </c>
      <c r="I192">
        <v>3.4</v>
      </c>
      <c r="J192" s="214">
        <v>8.5</v>
      </c>
      <c r="K192" s="214">
        <v>90</v>
      </c>
      <c r="L192">
        <v>5500</v>
      </c>
      <c r="M192">
        <v>24</v>
      </c>
      <c r="N192">
        <v>29</v>
      </c>
      <c r="O192" t="s">
        <v>0</v>
      </c>
      <c r="P192">
        <f t="shared" si="12"/>
        <v>0</v>
      </c>
      <c r="Q192" t="s">
        <v>1</v>
      </c>
      <c r="R192">
        <f t="shared" si="13"/>
        <v>0</v>
      </c>
      <c r="S192" t="s">
        <v>2</v>
      </c>
      <c r="T192">
        <f t="shared" si="14"/>
        <v>0</v>
      </c>
      <c r="U192" t="s">
        <v>6</v>
      </c>
      <c r="V192">
        <f t="shared" si="15"/>
        <v>0</v>
      </c>
      <c r="W192">
        <f t="shared" si="16"/>
        <v>1</v>
      </c>
      <c r="X192" t="s">
        <v>4</v>
      </c>
      <c r="Y192">
        <f t="shared" si="17"/>
        <v>0</v>
      </c>
      <c r="Z192">
        <v>9980</v>
      </c>
    </row>
    <row r="193" spans="1:26">
      <c r="A193">
        <v>0</v>
      </c>
      <c r="B193" s="214">
        <v>100.4</v>
      </c>
      <c r="C193" s="214">
        <v>180.2</v>
      </c>
      <c r="D193" s="214">
        <v>66.900000000000006</v>
      </c>
      <c r="E193" s="216">
        <v>55.1</v>
      </c>
      <c r="F193" s="214">
        <v>2661</v>
      </c>
      <c r="G193">
        <v>136</v>
      </c>
      <c r="H193">
        <v>3.19</v>
      </c>
      <c r="I193">
        <v>3.4</v>
      </c>
      <c r="J193" s="214">
        <v>8.5</v>
      </c>
      <c r="K193" s="214">
        <v>110</v>
      </c>
      <c r="L193">
        <v>5500</v>
      </c>
      <c r="M193">
        <v>19</v>
      </c>
      <c r="N193">
        <v>24</v>
      </c>
      <c r="O193" t="s">
        <v>0</v>
      </c>
      <c r="P193">
        <f t="shared" si="12"/>
        <v>0</v>
      </c>
      <c r="Q193" t="s">
        <v>1</v>
      </c>
      <c r="R193">
        <f t="shared" si="13"/>
        <v>0</v>
      </c>
      <c r="S193" t="s">
        <v>5</v>
      </c>
      <c r="T193">
        <f t="shared" si="14"/>
        <v>1</v>
      </c>
      <c r="U193" t="s">
        <v>6</v>
      </c>
      <c r="V193">
        <f t="shared" si="15"/>
        <v>0</v>
      </c>
      <c r="W193">
        <f t="shared" si="16"/>
        <v>1</v>
      </c>
      <c r="X193" t="s">
        <v>4</v>
      </c>
      <c r="Y193">
        <f t="shared" si="17"/>
        <v>0</v>
      </c>
      <c r="Z193">
        <v>13295</v>
      </c>
    </row>
    <row r="194" spans="1:26">
      <c r="A194">
        <v>0</v>
      </c>
      <c r="B194" s="214">
        <v>100.4</v>
      </c>
      <c r="C194" s="214">
        <v>180.2</v>
      </c>
      <c r="D194" s="214">
        <v>66.900000000000006</v>
      </c>
      <c r="E194" s="216">
        <v>55.1</v>
      </c>
      <c r="F194" s="214">
        <v>2579</v>
      </c>
      <c r="G194">
        <v>97</v>
      </c>
      <c r="H194">
        <v>3.01</v>
      </c>
      <c r="I194">
        <v>3.4</v>
      </c>
      <c r="J194" s="214">
        <v>23</v>
      </c>
      <c r="K194" s="214">
        <v>68</v>
      </c>
      <c r="L194">
        <v>4500</v>
      </c>
      <c r="M194">
        <v>33</v>
      </c>
      <c r="N194">
        <v>38</v>
      </c>
      <c r="O194" t="s">
        <v>9</v>
      </c>
      <c r="P194">
        <f t="shared" si="12"/>
        <v>1</v>
      </c>
      <c r="Q194" t="s">
        <v>8</v>
      </c>
      <c r="R194">
        <f t="shared" si="13"/>
        <v>1</v>
      </c>
      <c r="S194" t="s">
        <v>5</v>
      </c>
      <c r="T194">
        <f t="shared" si="14"/>
        <v>1</v>
      </c>
      <c r="U194" t="s">
        <v>6</v>
      </c>
      <c r="V194">
        <f t="shared" si="15"/>
        <v>0</v>
      </c>
      <c r="W194">
        <f t="shared" si="16"/>
        <v>1</v>
      </c>
      <c r="X194" t="s">
        <v>4</v>
      </c>
      <c r="Y194">
        <f t="shared" si="17"/>
        <v>0</v>
      </c>
      <c r="Z194">
        <v>13845</v>
      </c>
    </row>
    <row r="195" spans="1:26">
      <c r="A195">
        <v>0</v>
      </c>
      <c r="B195" s="214">
        <v>100.4</v>
      </c>
      <c r="C195" s="214">
        <v>183.1</v>
      </c>
      <c r="D195" s="214">
        <v>66.900000000000006</v>
      </c>
      <c r="E195" s="216">
        <v>55.1</v>
      </c>
      <c r="F195" s="214">
        <v>2563</v>
      </c>
      <c r="G195">
        <v>109</v>
      </c>
      <c r="H195">
        <v>3.19</v>
      </c>
      <c r="I195">
        <v>3.4</v>
      </c>
      <c r="J195" s="214">
        <v>9</v>
      </c>
      <c r="K195" s="214">
        <v>88</v>
      </c>
      <c r="L195">
        <v>5500</v>
      </c>
      <c r="M195">
        <v>25</v>
      </c>
      <c r="N195">
        <v>31</v>
      </c>
      <c r="O195" t="s">
        <v>0</v>
      </c>
      <c r="P195">
        <f t="shared" ref="P195:P206" si="18">IF(O195=$P$1,1,0)</f>
        <v>0</v>
      </c>
      <c r="Q195" t="s">
        <v>1</v>
      </c>
      <c r="R195">
        <f t="shared" ref="R195:R206" si="19">IF(Q195=$R$1,1,0)</f>
        <v>0</v>
      </c>
      <c r="S195" t="s">
        <v>5</v>
      </c>
      <c r="T195">
        <f t="shared" ref="T195:T206" si="20">IF(S195=$T$1,1,0)</f>
        <v>1</v>
      </c>
      <c r="U195" t="s">
        <v>6</v>
      </c>
      <c r="V195">
        <f t="shared" ref="V195:V206" si="21">IF(U195=$V$1,1,0)</f>
        <v>0</v>
      </c>
      <c r="W195">
        <f t="shared" ref="W195:W206" si="22">IF(U195=$W$1,1,0)</f>
        <v>1</v>
      </c>
      <c r="X195" t="s">
        <v>4</v>
      </c>
      <c r="Y195">
        <f t="shared" ref="Y195:Y206" si="23">IF(X195=$Y$1,1,0)</f>
        <v>0</v>
      </c>
      <c r="Z195">
        <v>12290</v>
      </c>
    </row>
    <row r="196" spans="1:26">
      <c r="A196">
        <v>-2</v>
      </c>
      <c r="B196" s="214">
        <v>104.3</v>
      </c>
      <c r="C196" s="214">
        <v>188.8</v>
      </c>
      <c r="D196" s="214">
        <v>67.2</v>
      </c>
      <c r="E196" s="216">
        <v>56.2</v>
      </c>
      <c r="F196" s="214">
        <v>2912</v>
      </c>
      <c r="G196">
        <v>141</v>
      </c>
      <c r="H196">
        <v>3.78</v>
      </c>
      <c r="I196">
        <v>3.15</v>
      </c>
      <c r="J196" s="214">
        <v>9.5</v>
      </c>
      <c r="K196" s="214">
        <v>114</v>
      </c>
      <c r="L196">
        <v>5400</v>
      </c>
      <c r="M196">
        <v>23</v>
      </c>
      <c r="N196">
        <v>28</v>
      </c>
      <c r="O196" t="s">
        <v>0</v>
      </c>
      <c r="P196">
        <f t="shared" si="18"/>
        <v>0</v>
      </c>
      <c r="Q196" t="s">
        <v>1</v>
      </c>
      <c r="R196">
        <f t="shared" si="19"/>
        <v>0</v>
      </c>
      <c r="S196" t="s">
        <v>5</v>
      </c>
      <c r="T196">
        <f t="shared" si="20"/>
        <v>1</v>
      </c>
      <c r="U196" t="s">
        <v>3</v>
      </c>
      <c r="V196">
        <f t="shared" si="21"/>
        <v>0</v>
      </c>
      <c r="W196">
        <f t="shared" si="22"/>
        <v>0</v>
      </c>
      <c r="X196" t="s">
        <v>4</v>
      </c>
      <c r="Y196">
        <f t="shared" si="23"/>
        <v>0</v>
      </c>
      <c r="Z196">
        <v>12940</v>
      </c>
    </row>
    <row r="197" spans="1:26">
      <c r="A197">
        <v>-1</v>
      </c>
      <c r="B197" s="214">
        <v>104.3</v>
      </c>
      <c r="C197" s="214">
        <v>188.8</v>
      </c>
      <c r="D197" s="214">
        <v>67.2</v>
      </c>
      <c r="E197" s="216">
        <v>57.5</v>
      </c>
      <c r="F197" s="214">
        <v>3034</v>
      </c>
      <c r="G197">
        <v>141</v>
      </c>
      <c r="H197">
        <v>3.78</v>
      </c>
      <c r="I197">
        <v>3.15</v>
      </c>
      <c r="J197" s="214">
        <v>9.5</v>
      </c>
      <c r="K197" s="214">
        <v>114</v>
      </c>
      <c r="L197">
        <v>5400</v>
      </c>
      <c r="M197">
        <v>23</v>
      </c>
      <c r="N197">
        <v>28</v>
      </c>
      <c r="O197" t="s">
        <v>0</v>
      </c>
      <c r="P197">
        <f t="shared" si="18"/>
        <v>0</v>
      </c>
      <c r="Q197" t="s">
        <v>1</v>
      </c>
      <c r="R197">
        <f t="shared" si="19"/>
        <v>0</v>
      </c>
      <c r="S197" t="s">
        <v>5</v>
      </c>
      <c r="T197">
        <f t="shared" si="20"/>
        <v>1</v>
      </c>
      <c r="U197" t="s">
        <v>3</v>
      </c>
      <c r="V197">
        <f t="shared" si="21"/>
        <v>0</v>
      </c>
      <c r="W197">
        <f t="shared" si="22"/>
        <v>0</v>
      </c>
      <c r="X197" t="s">
        <v>4</v>
      </c>
      <c r="Y197">
        <f t="shared" si="23"/>
        <v>0</v>
      </c>
      <c r="Z197">
        <v>13415</v>
      </c>
    </row>
    <row r="198" spans="1:26">
      <c r="A198">
        <v>-2</v>
      </c>
      <c r="B198" s="214">
        <v>104.3</v>
      </c>
      <c r="C198" s="214">
        <v>188.8</v>
      </c>
      <c r="D198" s="214">
        <v>67.2</v>
      </c>
      <c r="E198" s="216">
        <v>56.2</v>
      </c>
      <c r="F198" s="214">
        <v>2935</v>
      </c>
      <c r="G198">
        <v>141</v>
      </c>
      <c r="H198">
        <v>3.78</v>
      </c>
      <c r="I198">
        <v>3.15</v>
      </c>
      <c r="J198" s="214">
        <v>9.5</v>
      </c>
      <c r="K198" s="214">
        <v>114</v>
      </c>
      <c r="L198">
        <v>5400</v>
      </c>
      <c r="M198">
        <v>24</v>
      </c>
      <c r="N198">
        <v>28</v>
      </c>
      <c r="O198" t="s">
        <v>0</v>
      </c>
      <c r="P198">
        <f t="shared" si="18"/>
        <v>0</v>
      </c>
      <c r="Q198" t="s">
        <v>1</v>
      </c>
      <c r="R198">
        <f t="shared" si="19"/>
        <v>0</v>
      </c>
      <c r="S198" t="s">
        <v>5</v>
      </c>
      <c r="T198">
        <f t="shared" si="20"/>
        <v>1</v>
      </c>
      <c r="U198" t="s">
        <v>3</v>
      </c>
      <c r="V198">
        <f t="shared" si="21"/>
        <v>0</v>
      </c>
      <c r="W198">
        <f t="shared" si="22"/>
        <v>0</v>
      </c>
      <c r="X198" t="s">
        <v>4</v>
      </c>
      <c r="Y198">
        <f t="shared" si="23"/>
        <v>0</v>
      </c>
      <c r="Z198">
        <v>15985</v>
      </c>
    </row>
    <row r="199" spans="1:26">
      <c r="A199">
        <v>-1</v>
      </c>
      <c r="B199" s="214">
        <v>104.3</v>
      </c>
      <c r="C199" s="214">
        <v>188.8</v>
      </c>
      <c r="D199" s="214">
        <v>67.2</v>
      </c>
      <c r="E199" s="216">
        <v>57.5</v>
      </c>
      <c r="F199" s="214">
        <v>3042</v>
      </c>
      <c r="G199">
        <v>141</v>
      </c>
      <c r="H199">
        <v>3.78</v>
      </c>
      <c r="I199">
        <v>3.15</v>
      </c>
      <c r="J199" s="214">
        <v>9.5</v>
      </c>
      <c r="K199" s="214">
        <v>114</v>
      </c>
      <c r="L199">
        <v>5400</v>
      </c>
      <c r="M199">
        <v>24</v>
      </c>
      <c r="N199">
        <v>28</v>
      </c>
      <c r="O199" t="s">
        <v>0</v>
      </c>
      <c r="P199">
        <f t="shared" si="18"/>
        <v>0</v>
      </c>
      <c r="Q199" t="s">
        <v>1</v>
      </c>
      <c r="R199">
        <f t="shared" si="19"/>
        <v>0</v>
      </c>
      <c r="S199" t="s">
        <v>5</v>
      </c>
      <c r="T199">
        <f t="shared" si="20"/>
        <v>1</v>
      </c>
      <c r="U199" t="s">
        <v>3</v>
      </c>
      <c r="V199">
        <f t="shared" si="21"/>
        <v>0</v>
      </c>
      <c r="W199">
        <f t="shared" si="22"/>
        <v>0</v>
      </c>
      <c r="X199" t="s">
        <v>4</v>
      </c>
      <c r="Y199">
        <f t="shared" si="23"/>
        <v>0</v>
      </c>
      <c r="Z199">
        <v>16515</v>
      </c>
    </row>
    <row r="200" spans="1:26">
      <c r="A200">
        <v>-2</v>
      </c>
      <c r="B200" s="214">
        <v>104.3</v>
      </c>
      <c r="C200" s="214">
        <v>188.8</v>
      </c>
      <c r="D200" s="214">
        <v>67.2</v>
      </c>
      <c r="E200" s="216">
        <v>56.2</v>
      </c>
      <c r="F200" s="214">
        <v>3045</v>
      </c>
      <c r="G200">
        <v>130</v>
      </c>
      <c r="H200">
        <v>3.62</v>
      </c>
      <c r="I200">
        <v>3.15</v>
      </c>
      <c r="J200" s="214">
        <v>7.5</v>
      </c>
      <c r="K200" s="214">
        <v>162</v>
      </c>
      <c r="L200">
        <v>5100</v>
      </c>
      <c r="M200">
        <v>17</v>
      </c>
      <c r="N200">
        <v>22</v>
      </c>
      <c r="O200" t="s">
        <v>0</v>
      </c>
      <c r="P200">
        <f t="shared" si="18"/>
        <v>0</v>
      </c>
      <c r="Q200" t="s">
        <v>8</v>
      </c>
      <c r="R200">
        <f t="shared" si="19"/>
        <v>1</v>
      </c>
      <c r="S200" t="s">
        <v>5</v>
      </c>
      <c r="T200">
        <f t="shared" si="20"/>
        <v>1</v>
      </c>
      <c r="U200" t="s">
        <v>3</v>
      </c>
      <c r="V200">
        <f t="shared" si="21"/>
        <v>0</v>
      </c>
      <c r="W200">
        <f t="shared" si="22"/>
        <v>0</v>
      </c>
      <c r="X200" t="s">
        <v>4</v>
      </c>
      <c r="Y200">
        <f t="shared" si="23"/>
        <v>0</v>
      </c>
      <c r="Z200">
        <v>18420</v>
      </c>
    </row>
    <row r="201" spans="1:26">
      <c r="A201">
        <v>-1</v>
      </c>
      <c r="B201" s="214">
        <v>104.3</v>
      </c>
      <c r="C201" s="214">
        <v>188.8</v>
      </c>
      <c r="D201" s="214">
        <v>67.2</v>
      </c>
      <c r="E201" s="216">
        <v>57.5</v>
      </c>
      <c r="F201" s="214">
        <v>3157</v>
      </c>
      <c r="G201">
        <v>130</v>
      </c>
      <c r="H201">
        <v>3.62</v>
      </c>
      <c r="I201">
        <v>3.15</v>
      </c>
      <c r="J201" s="214">
        <v>7.5</v>
      </c>
      <c r="K201" s="214">
        <v>162</v>
      </c>
      <c r="L201">
        <v>5100</v>
      </c>
      <c r="M201">
        <v>17</v>
      </c>
      <c r="N201">
        <v>22</v>
      </c>
      <c r="O201" t="s">
        <v>0</v>
      </c>
      <c r="P201">
        <f t="shared" si="18"/>
        <v>0</v>
      </c>
      <c r="Q201" t="s">
        <v>8</v>
      </c>
      <c r="R201">
        <f t="shared" si="19"/>
        <v>1</v>
      </c>
      <c r="S201" t="s">
        <v>5</v>
      </c>
      <c r="T201">
        <f t="shared" si="20"/>
        <v>1</v>
      </c>
      <c r="U201" t="s">
        <v>3</v>
      </c>
      <c r="V201">
        <f t="shared" si="21"/>
        <v>0</v>
      </c>
      <c r="W201">
        <f t="shared" si="22"/>
        <v>0</v>
      </c>
      <c r="X201" t="s">
        <v>4</v>
      </c>
      <c r="Y201">
        <f t="shared" si="23"/>
        <v>0</v>
      </c>
      <c r="Z201">
        <v>18950</v>
      </c>
    </row>
    <row r="202" spans="1:26">
      <c r="A202">
        <v>-1</v>
      </c>
      <c r="B202" s="214">
        <v>109.1</v>
      </c>
      <c r="C202" s="214">
        <v>188.8</v>
      </c>
      <c r="D202" s="214">
        <v>68.900000000000006</v>
      </c>
      <c r="E202" s="216">
        <v>55.5</v>
      </c>
      <c r="F202" s="214">
        <v>2952</v>
      </c>
      <c r="G202">
        <v>141</v>
      </c>
      <c r="H202">
        <v>3.78</v>
      </c>
      <c r="I202">
        <v>3.15</v>
      </c>
      <c r="J202" s="214">
        <v>9.5</v>
      </c>
      <c r="K202" s="214">
        <v>114</v>
      </c>
      <c r="L202">
        <v>5400</v>
      </c>
      <c r="M202">
        <v>23</v>
      </c>
      <c r="N202">
        <v>28</v>
      </c>
      <c r="O202" t="s">
        <v>0</v>
      </c>
      <c r="P202">
        <f t="shared" si="18"/>
        <v>0</v>
      </c>
      <c r="Q202" t="s">
        <v>1</v>
      </c>
      <c r="R202">
        <f t="shared" si="19"/>
        <v>0</v>
      </c>
      <c r="S202" t="s">
        <v>5</v>
      </c>
      <c r="T202">
        <f t="shared" si="20"/>
        <v>1</v>
      </c>
      <c r="U202" t="s">
        <v>3</v>
      </c>
      <c r="V202">
        <f t="shared" si="21"/>
        <v>0</v>
      </c>
      <c r="W202">
        <f t="shared" si="22"/>
        <v>0</v>
      </c>
      <c r="X202" t="s">
        <v>4</v>
      </c>
      <c r="Y202">
        <f t="shared" si="23"/>
        <v>0</v>
      </c>
      <c r="Z202">
        <v>16845</v>
      </c>
    </row>
    <row r="203" spans="1:26">
      <c r="A203">
        <v>-1</v>
      </c>
      <c r="B203" s="214">
        <v>109.1</v>
      </c>
      <c r="C203" s="214">
        <v>188.8</v>
      </c>
      <c r="D203" s="214">
        <v>68.8</v>
      </c>
      <c r="E203" s="216">
        <v>55.5</v>
      </c>
      <c r="F203" s="214">
        <v>3049</v>
      </c>
      <c r="G203">
        <v>141</v>
      </c>
      <c r="H203">
        <v>3.78</v>
      </c>
      <c r="I203">
        <v>3.15</v>
      </c>
      <c r="J203" s="214">
        <v>8.6999999999999993</v>
      </c>
      <c r="K203" s="214">
        <v>160</v>
      </c>
      <c r="L203">
        <v>5300</v>
      </c>
      <c r="M203">
        <v>19</v>
      </c>
      <c r="N203">
        <v>25</v>
      </c>
      <c r="O203" t="s">
        <v>0</v>
      </c>
      <c r="P203">
        <f t="shared" si="18"/>
        <v>0</v>
      </c>
      <c r="Q203" t="s">
        <v>8</v>
      </c>
      <c r="R203">
        <f t="shared" si="19"/>
        <v>1</v>
      </c>
      <c r="S203" t="s">
        <v>5</v>
      </c>
      <c r="T203">
        <f t="shared" si="20"/>
        <v>1</v>
      </c>
      <c r="U203" t="s">
        <v>3</v>
      </c>
      <c r="V203">
        <f t="shared" si="21"/>
        <v>0</v>
      </c>
      <c r="W203">
        <f t="shared" si="22"/>
        <v>0</v>
      </c>
      <c r="X203" t="s">
        <v>4</v>
      </c>
      <c r="Y203">
        <f t="shared" si="23"/>
        <v>0</v>
      </c>
      <c r="Z203">
        <v>19045</v>
      </c>
    </row>
    <row r="204" spans="1:26">
      <c r="A204">
        <v>-1</v>
      </c>
      <c r="B204" s="214">
        <v>109.1</v>
      </c>
      <c r="C204" s="214">
        <v>188.8</v>
      </c>
      <c r="D204" s="214">
        <v>68.900000000000006</v>
      </c>
      <c r="E204" s="216">
        <v>55.5</v>
      </c>
      <c r="F204" s="214">
        <v>3012</v>
      </c>
      <c r="G204">
        <v>173</v>
      </c>
      <c r="H204">
        <v>3.58</v>
      </c>
      <c r="I204">
        <v>2.87</v>
      </c>
      <c r="J204" s="214">
        <v>8.8000000000000007</v>
      </c>
      <c r="K204" s="214">
        <v>134</v>
      </c>
      <c r="L204">
        <v>5500</v>
      </c>
      <c r="M204">
        <v>18</v>
      </c>
      <c r="N204">
        <v>23</v>
      </c>
      <c r="O204" t="s">
        <v>0</v>
      </c>
      <c r="P204">
        <f t="shared" si="18"/>
        <v>0</v>
      </c>
      <c r="Q204" t="s">
        <v>1</v>
      </c>
      <c r="R204">
        <f t="shared" si="19"/>
        <v>0</v>
      </c>
      <c r="S204" t="s">
        <v>5</v>
      </c>
      <c r="T204">
        <f t="shared" si="20"/>
        <v>1</v>
      </c>
      <c r="U204" t="s">
        <v>3</v>
      </c>
      <c r="V204">
        <f t="shared" si="21"/>
        <v>0</v>
      </c>
      <c r="W204">
        <f t="shared" si="22"/>
        <v>0</v>
      </c>
      <c r="X204" t="s">
        <v>4</v>
      </c>
      <c r="Y204">
        <f t="shared" si="23"/>
        <v>0</v>
      </c>
      <c r="Z204">
        <v>21485</v>
      </c>
    </row>
    <row r="205" spans="1:26">
      <c r="A205">
        <v>-1</v>
      </c>
      <c r="B205" s="214">
        <v>109.1</v>
      </c>
      <c r="C205" s="214">
        <v>188.8</v>
      </c>
      <c r="D205" s="214">
        <v>68.900000000000006</v>
      </c>
      <c r="E205" s="216">
        <v>55.5</v>
      </c>
      <c r="F205" s="214">
        <v>3217</v>
      </c>
      <c r="G205">
        <v>145</v>
      </c>
      <c r="H205">
        <v>3.01</v>
      </c>
      <c r="I205">
        <v>3.4</v>
      </c>
      <c r="J205" s="214">
        <v>23</v>
      </c>
      <c r="K205" s="214">
        <v>106</v>
      </c>
      <c r="L205">
        <v>4800</v>
      </c>
      <c r="M205">
        <v>26</v>
      </c>
      <c r="N205">
        <v>27</v>
      </c>
      <c r="O205" t="s">
        <v>9</v>
      </c>
      <c r="P205">
        <f t="shared" si="18"/>
        <v>1</v>
      </c>
      <c r="Q205" t="s">
        <v>8</v>
      </c>
      <c r="R205">
        <f t="shared" si="19"/>
        <v>1</v>
      </c>
      <c r="S205" t="s">
        <v>5</v>
      </c>
      <c r="T205">
        <f t="shared" si="20"/>
        <v>1</v>
      </c>
      <c r="U205" t="s">
        <v>3</v>
      </c>
      <c r="V205">
        <f t="shared" si="21"/>
        <v>0</v>
      </c>
      <c r="W205">
        <f t="shared" si="22"/>
        <v>0</v>
      </c>
      <c r="X205" t="s">
        <v>4</v>
      </c>
      <c r="Y205">
        <f t="shared" si="23"/>
        <v>0</v>
      </c>
      <c r="Z205">
        <v>22470</v>
      </c>
    </row>
    <row r="206" spans="1:26">
      <c r="A206">
        <v>-1</v>
      </c>
      <c r="B206" s="214">
        <v>109.1</v>
      </c>
      <c r="C206" s="214">
        <v>188.8</v>
      </c>
      <c r="D206" s="214">
        <v>68.900000000000006</v>
      </c>
      <c r="E206" s="216">
        <v>55.5</v>
      </c>
      <c r="F206" s="214">
        <v>3062</v>
      </c>
      <c r="G206">
        <v>141</v>
      </c>
      <c r="H206">
        <v>3.78</v>
      </c>
      <c r="I206">
        <v>3.15</v>
      </c>
      <c r="J206" s="214">
        <v>9.5</v>
      </c>
      <c r="K206" s="214">
        <v>114</v>
      </c>
      <c r="L206">
        <v>5400</v>
      </c>
      <c r="M206">
        <v>19</v>
      </c>
      <c r="N206">
        <v>25</v>
      </c>
      <c r="O206" t="s">
        <v>0</v>
      </c>
      <c r="P206">
        <f t="shared" si="18"/>
        <v>0</v>
      </c>
      <c r="Q206" t="s">
        <v>8</v>
      </c>
      <c r="R206">
        <f t="shared" si="19"/>
        <v>1</v>
      </c>
      <c r="S206" t="s">
        <v>5</v>
      </c>
      <c r="T206">
        <f t="shared" si="20"/>
        <v>1</v>
      </c>
      <c r="U206" t="s">
        <v>3</v>
      </c>
      <c r="V206">
        <f t="shared" si="21"/>
        <v>0</v>
      </c>
      <c r="W206">
        <f t="shared" si="22"/>
        <v>0</v>
      </c>
      <c r="X206" t="s">
        <v>4</v>
      </c>
      <c r="Y206">
        <f t="shared" si="23"/>
        <v>0</v>
      </c>
      <c r="Z206">
        <v>22625</v>
      </c>
    </row>
  </sheetData>
  <autoFilter ref="A1:V206" xr:uid="{891FC141-3A6A-2E4E-8020-7E7C95B4D8F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999B1-A211-1C4D-884C-372A073503B7}">
  <dimension ref="A1:P206"/>
  <sheetViews>
    <sheetView workbookViewId="0">
      <selection activeCell="B2" sqref="B2"/>
    </sheetView>
  </sheetViews>
  <sheetFormatPr baseColWidth="10" defaultRowHeight="16"/>
  <cols>
    <col min="1" max="1" width="13" customWidth="1"/>
    <col min="2" max="2" width="12.33203125" customWidth="1"/>
    <col min="3" max="3" width="11.1640625" customWidth="1"/>
    <col min="5" max="5" width="18.5" customWidth="1"/>
    <col min="6" max="6" width="13.5" customWidth="1"/>
    <col min="7" max="7" width="11" customWidth="1"/>
    <col min="9" max="9" width="14.1640625" customWidth="1"/>
    <col min="11" max="11" width="16.1640625" customWidth="1"/>
    <col min="12" max="12" width="13.1640625" customWidth="1"/>
  </cols>
  <sheetData>
    <row r="1" spans="1:16">
      <c r="A1" t="s">
        <v>75</v>
      </c>
      <c r="B1" t="s">
        <v>76</v>
      </c>
      <c r="C1" t="s">
        <v>77</v>
      </c>
      <c r="D1" t="s">
        <v>78</v>
      </c>
      <c r="E1" t="s">
        <v>79</v>
      </c>
      <c r="F1" t="s">
        <v>80</v>
      </c>
      <c r="G1" t="s">
        <v>81</v>
      </c>
      <c r="H1" t="s">
        <v>82</v>
      </c>
      <c r="I1" t="s">
        <v>83</v>
      </c>
      <c r="J1" t="s">
        <v>9</v>
      </c>
      <c r="K1" t="s">
        <v>8</v>
      </c>
      <c r="L1" t="s">
        <v>5</v>
      </c>
      <c r="M1" t="s">
        <v>7</v>
      </c>
      <c r="N1" t="s">
        <v>6</v>
      </c>
      <c r="O1" t="s">
        <v>10</v>
      </c>
      <c r="P1" t="s">
        <v>84</v>
      </c>
    </row>
    <row r="2" spans="1:16">
      <c r="A2">
        <v>2548</v>
      </c>
      <c r="B2">
        <v>130</v>
      </c>
      <c r="C2">
        <v>3.47</v>
      </c>
      <c r="D2">
        <v>2.68</v>
      </c>
      <c r="E2">
        <v>9</v>
      </c>
      <c r="F2">
        <v>111</v>
      </c>
      <c r="G2">
        <v>5000</v>
      </c>
      <c r="H2">
        <v>21</v>
      </c>
      <c r="I2">
        <v>27</v>
      </c>
      <c r="J2">
        <v>0</v>
      </c>
      <c r="K2">
        <v>0</v>
      </c>
      <c r="L2">
        <v>0</v>
      </c>
      <c r="M2">
        <v>0</v>
      </c>
      <c r="N2">
        <v>0</v>
      </c>
      <c r="O2">
        <v>0</v>
      </c>
      <c r="P2">
        <v>13495</v>
      </c>
    </row>
    <row r="3" spans="1:16">
      <c r="A3">
        <v>2548</v>
      </c>
      <c r="B3">
        <v>130</v>
      </c>
      <c r="C3">
        <v>3.47</v>
      </c>
      <c r="D3">
        <v>2.68</v>
      </c>
      <c r="E3">
        <v>9</v>
      </c>
      <c r="F3">
        <v>111</v>
      </c>
      <c r="G3">
        <v>5000</v>
      </c>
      <c r="H3">
        <v>21</v>
      </c>
      <c r="I3">
        <v>27</v>
      </c>
      <c r="J3">
        <v>0</v>
      </c>
      <c r="K3">
        <v>0</v>
      </c>
      <c r="L3">
        <v>0</v>
      </c>
      <c r="M3">
        <v>0</v>
      </c>
      <c r="N3">
        <v>0</v>
      </c>
      <c r="O3">
        <v>0</v>
      </c>
      <c r="P3">
        <v>16500</v>
      </c>
    </row>
    <row r="4" spans="1:16">
      <c r="A4">
        <v>2823</v>
      </c>
      <c r="B4">
        <v>152</v>
      </c>
      <c r="C4">
        <v>2.68</v>
      </c>
      <c r="D4">
        <v>3.47</v>
      </c>
      <c r="E4">
        <v>9</v>
      </c>
      <c r="F4">
        <v>154</v>
      </c>
      <c r="G4">
        <v>5000</v>
      </c>
      <c r="H4">
        <v>19</v>
      </c>
      <c r="I4">
        <v>26</v>
      </c>
      <c r="J4">
        <v>0</v>
      </c>
      <c r="K4">
        <v>0</v>
      </c>
      <c r="L4">
        <v>0</v>
      </c>
      <c r="M4">
        <v>0</v>
      </c>
      <c r="N4">
        <v>0</v>
      </c>
      <c r="O4">
        <v>0</v>
      </c>
      <c r="P4">
        <v>16500</v>
      </c>
    </row>
    <row r="5" spans="1:16">
      <c r="A5">
        <v>2337</v>
      </c>
      <c r="B5">
        <v>109</v>
      </c>
      <c r="C5">
        <v>3.19</v>
      </c>
      <c r="D5">
        <v>3.4</v>
      </c>
      <c r="E5">
        <v>10</v>
      </c>
      <c r="F5">
        <v>102</v>
      </c>
      <c r="G5">
        <v>5500</v>
      </c>
      <c r="H5">
        <v>24</v>
      </c>
      <c r="I5">
        <v>30</v>
      </c>
      <c r="J5">
        <v>0</v>
      </c>
      <c r="K5">
        <v>0</v>
      </c>
      <c r="L5">
        <v>1</v>
      </c>
      <c r="M5">
        <v>0</v>
      </c>
      <c r="N5">
        <v>1</v>
      </c>
      <c r="O5">
        <v>0</v>
      </c>
      <c r="P5">
        <v>13950</v>
      </c>
    </row>
    <row r="6" spans="1:16">
      <c r="A6">
        <v>2824</v>
      </c>
      <c r="B6">
        <v>136</v>
      </c>
      <c r="C6">
        <v>3.19</v>
      </c>
      <c r="D6">
        <v>3.4</v>
      </c>
      <c r="E6">
        <v>8</v>
      </c>
      <c r="F6">
        <v>115</v>
      </c>
      <c r="G6">
        <v>5500</v>
      </c>
      <c r="H6">
        <v>18</v>
      </c>
      <c r="I6">
        <v>22</v>
      </c>
      <c r="J6">
        <v>0</v>
      </c>
      <c r="K6">
        <v>0</v>
      </c>
      <c r="L6">
        <v>1</v>
      </c>
      <c r="M6">
        <v>1</v>
      </c>
      <c r="N6">
        <v>0</v>
      </c>
      <c r="O6">
        <v>0</v>
      </c>
      <c r="P6">
        <v>17450</v>
      </c>
    </row>
    <row r="7" spans="1:16">
      <c r="A7">
        <v>2507</v>
      </c>
      <c r="B7">
        <v>136</v>
      </c>
      <c r="C7">
        <v>3.19</v>
      </c>
      <c r="D7">
        <v>3.4</v>
      </c>
      <c r="E7">
        <v>8.5</v>
      </c>
      <c r="F7">
        <v>110</v>
      </c>
      <c r="G7">
        <v>5500</v>
      </c>
      <c r="H7">
        <v>19</v>
      </c>
      <c r="I7">
        <v>25</v>
      </c>
      <c r="J7">
        <v>0</v>
      </c>
      <c r="K7">
        <v>0</v>
      </c>
      <c r="L7">
        <v>0</v>
      </c>
      <c r="M7">
        <v>0</v>
      </c>
      <c r="N7">
        <v>1</v>
      </c>
      <c r="O7">
        <v>0</v>
      </c>
      <c r="P7">
        <v>15250</v>
      </c>
    </row>
    <row r="8" spans="1:16">
      <c r="A8">
        <v>2844</v>
      </c>
      <c r="B8">
        <v>136</v>
      </c>
      <c r="C8">
        <v>3.19</v>
      </c>
      <c r="D8">
        <v>3.4</v>
      </c>
      <c r="E8">
        <v>8.5</v>
      </c>
      <c r="F8">
        <v>110</v>
      </c>
      <c r="G8">
        <v>5500</v>
      </c>
      <c r="H8">
        <v>19</v>
      </c>
      <c r="I8">
        <v>25</v>
      </c>
      <c r="J8">
        <v>0</v>
      </c>
      <c r="K8">
        <v>0</v>
      </c>
      <c r="L8">
        <v>1</v>
      </c>
      <c r="M8">
        <v>0</v>
      </c>
      <c r="N8">
        <v>1</v>
      </c>
      <c r="O8">
        <v>0</v>
      </c>
      <c r="P8">
        <v>17710</v>
      </c>
    </row>
    <row r="9" spans="1:16">
      <c r="A9">
        <v>2954</v>
      </c>
      <c r="B9">
        <v>136</v>
      </c>
      <c r="C9">
        <v>3.19</v>
      </c>
      <c r="D9">
        <v>3.4</v>
      </c>
      <c r="E9">
        <v>8.5</v>
      </c>
      <c r="F9">
        <v>110</v>
      </c>
      <c r="G9">
        <v>5500</v>
      </c>
      <c r="H9">
        <v>19</v>
      </c>
      <c r="I9">
        <v>25</v>
      </c>
      <c r="J9">
        <v>0</v>
      </c>
      <c r="K9">
        <v>0</v>
      </c>
      <c r="L9">
        <v>1</v>
      </c>
      <c r="M9">
        <v>0</v>
      </c>
      <c r="N9">
        <v>1</v>
      </c>
      <c r="O9">
        <v>0</v>
      </c>
      <c r="P9">
        <v>18920</v>
      </c>
    </row>
    <row r="10" spans="1:16">
      <c r="A10">
        <v>3086</v>
      </c>
      <c r="B10">
        <v>131</v>
      </c>
      <c r="C10">
        <v>3.13</v>
      </c>
      <c r="D10">
        <v>3.4</v>
      </c>
      <c r="E10">
        <v>8.3000000000000007</v>
      </c>
      <c r="F10">
        <v>140</v>
      </c>
      <c r="G10">
        <v>5500</v>
      </c>
      <c r="H10">
        <v>17</v>
      </c>
      <c r="I10">
        <v>20</v>
      </c>
      <c r="J10">
        <v>0</v>
      </c>
      <c r="K10">
        <v>1</v>
      </c>
      <c r="L10">
        <v>1</v>
      </c>
      <c r="M10">
        <v>0</v>
      </c>
      <c r="N10">
        <v>1</v>
      </c>
      <c r="O10">
        <v>0</v>
      </c>
      <c r="P10">
        <v>23875</v>
      </c>
    </row>
    <row r="11" spans="1:16">
      <c r="A11">
        <v>3053</v>
      </c>
      <c r="B11">
        <v>131</v>
      </c>
      <c r="C11">
        <v>3.13</v>
      </c>
      <c r="D11">
        <v>3.4</v>
      </c>
      <c r="E11">
        <v>7</v>
      </c>
      <c r="F11">
        <v>160</v>
      </c>
      <c r="G11">
        <v>5500</v>
      </c>
      <c r="H11">
        <v>16</v>
      </c>
      <c r="I11">
        <v>22</v>
      </c>
      <c r="J11">
        <v>0</v>
      </c>
      <c r="K11">
        <v>1</v>
      </c>
      <c r="L11">
        <v>0</v>
      </c>
      <c r="M11">
        <v>1</v>
      </c>
      <c r="N11">
        <v>0</v>
      </c>
      <c r="O11">
        <v>0</v>
      </c>
      <c r="P11">
        <v>17859.167000000001</v>
      </c>
    </row>
    <row r="12" spans="1:16">
      <c r="A12">
        <v>2395</v>
      </c>
      <c r="B12">
        <v>108</v>
      </c>
      <c r="C12">
        <v>3.5</v>
      </c>
      <c r="D12">
        <v>2.8</v>
      </c>
      <c r="E12">
        <v>8.8000000000000007</v>
      </c>
      <c r="F12">
        <v>101</v>
      </c>
      <c r="G12">
        <v>5800</v>
      </c>
      <c r="H12">
        <v>23</v>
      </c>
      <c r="I12">
        <v>29</v>
      </c>
      <c r="J12">
        <v>0</v>
      </c>
      <c r="K12">
        <v>0</v>
      </c>
      <c r="L12">
        <v>0</v>
      </c>
      <c r="M12">
        <v>0</v>
      </c>
      <c r="N12">
        <v>0</v>
      </c>
      <c r="O12">
        <v>0</v>
      </c>
      <c r="P12">
        <v>16430</v>
      </c>
    </row>
    <row r="13" spans="1:16">
      <c r="A13">
        <v>2395</v>
      </c>
      <c r="B13">
        <v>108</v>
      </c>
      <c r="C13">
        <v>3.5</v>
      </c>
      <c r="D13">
        <v>2.8</v>
      </c>
      <c r="E13">
        <v>8.8000000000000007</v>
      </c>
      <c r="F13">
        <v>101</v>
      </c>
      <c r="G13">
        <v>5800</v>
      </c>
      <c r="H13">
        <v>23</v>
      </c>
      <c r="I13">
        <v>29</v>
      </c>
      <c r="J13">
        <v>0</v>
      </c>
      <c r="K13">
        <v>0</v>
      </c>
      <c r="L13">
        <v>1</v>
      </c>
      <c r="M13">
        <v>0</v>
      </c>
      <c r="N13">
        <v>0</v>
      </c>
      <c r="O13">
        <v>0</v>
      </c>
      <c r="P13">
        <v>16925</v>
      </c>
    </row>
    <row r="14" spans="1:16">
      <c r="A14">
        <v>2710</v>
      </c>
      <c r="B14">
        <v>164</v>
      </c>
      <c r="C14">
        <v>3.31</v>
      </c>
      <c r="D14">
        <v>3.19</v>
      </c>
      <c r="E14">
        <v>9</v>
      </c>
      <c r="F14">
        <v>121</v>
      </c>
      <c r="G14">
        <v>4250</v>
      </c>
      <c r="H14">
        <v>21</v>
      </c>
      <c r="I14">
        <v>28</v>
      </c>
      <c r="J14">
        <v>0</v>
      </c>
      <c r="K14">
        <v>0</v>
      </c>
      <c r="L14">
        <v>0</v>
      </c>
      <c r="M14">
        <v>0</v>
      </c>
      <c r="N14">
        <v>0</v>
      </c>
      <c r="O14">
        <v>0</v>
      </c>
      <c r="P14">
        <v>20970</v>
      </c>
    </row>
    <row r="15" spans="1:16">
      <c r="A15">
        <v>2765</v>
      </c>
      <c r="B15">
        <v>164</v>
      </c>
      <c r="C15">
        <v>3.31</v>
      </c>
      <c r="D15">
        <v>3.19</v>
      </c>
      <c r="E15">
        <v>9</v>
      </c>
      <c r="F15">
        <v>121</v>
      </c>
      <c r="G15">
        <v>4250</v>
      </c>
      <c r="H15">
        <v>21</v>
      </c>
      <c r="I15">
        <v>28</v>
      </c>
      <c r="J15">
        <v>0</v>
      </c>
      <c r="K15">
        <v>0</v>
      </c>
      <c r="L15">
        <v>1</v>
      </c>
      <c r="M15">
        <v>0</v>
      </c>
      <c r="N15">
        <v>0</v>
      </c>
      <c r="O15">
        <v>0</v>
      </c>
      <c r="P15">
        <v>21105</v>
      </c>
    </row>
    <row r="16" spans="1:16">
      <c r="A16">
        <v>3055</v>
      </c>
      <c r="B16">
        <v>164</v>
      </c>
      <c r="C16">
        <v>3.31</v>
      </c>
      <c r="D16">
        <v>3.19</v>
      </c>
      <c r="E16">
        <v>9</v>
      </c>
      <c r="F16">
        <v>121</v>
      </c>
      <c r="G16">
        <v>4250</v>
      </c>
      <c r="H16">
        <v>20</v>
      </c>
      <c r="I16">
        <v>25</v>
      </c>
      <c r="J16">
        <v>0</v>
      </c>
      <c r="K16">
        <v>0</v>
      </c>
      <c r="L16">
        <v>1</v>
      </c>
      <c r="M16">
        <v>0</v>
      </c>
      <c r="N16">
        <v>0</v>
      </c>
      <c r="O16">
        <v>0</v>
      </c>
      <c r="P16">
        <v>24565</v>
      </c>
    </row>
    <row r="17" spans="1:16">
      <c r="A17">
        <v>3230</v>
      </c>
      <c r="B17">
        <v>209</v>
      </c>
      <c r="C17">
        <v>3.62</v>
      </c>
      <c r="D17">
        <v>3.39</v>
      </c>
      <c r="E17">
        <v>8</v>
      </c>
      <c r="F17">
        <v>182</v>
      </c>
      <c r="G17">
        <v>5400</v>
      </c>
      <c r="H17">
        <v>16</v>
      </c>
      <c r="I17">
        <v>22</v>
      </c>
      <c r="J17">
        <v>0</v>
      </c>
      <c r="K17">
        <v>0</v>
      </c>
      <c r="L17">
        <v>1</v>
      </c>
      <c r="M17">
        <v>0</v>
      </c>
      <c r="N17">
        <v>0</v>
      </c>
      <c r="O17">
        <v>0</v>
      </c>
      <c r="P17">
        <v>30760</v>
      </c>
    </row>
    <row r="18" spans="1:16">
      <c r="A18">
        <v>3380</v>
      </c>
      <c r="B18">
        <v>209</v>
      </c>
      <c r="C18">
        <v>3.62</v>
      </c>
      <c r="D18">
        <v>3.39</v>
      </c>
      <c r="E18">
        <v>8</v>
      </c>
      <c r="F18">
        <v>182</v>
      </c>
      <c r="G18">
        <v>5400</v>
      </c>
      <c r="H18">
        <v>16</v>
      </c>
      <c r="I18">
        <v>22</v>
      </c>
      <c r="J18">
        <v>0</v>
      </c>
      <c r="K18">
        <v>0</v>
      </c>
      <c r="L18">
        <v>0</v>
      </c>
      <c r="M18">
        <v>0</v>
      </c>
      <c r="N18">
        <v>0</v>
      </c>
      <c r="O18">
        <v>0</v>
      </c>
      <c r="P18">
        <v>41315</v>
      </c>
    </row>
    <row r="19" spans="1:16">
      <c r="A19">
        <v>3505</v>
      </c>
      <c r="B19">
        <v>209</v>
      </c>
      <c r="C19">
        <v>3.62</v>
      </c>
      <c r="D19">
        <v>3.39</v>
      </c>
      <c r="E19">
        <v>8</v>
      </c>
      <c r="F19">
        <v>182</v>
      </c>
      <c r="G19">
        <v>5400</v>
      </c>
      <c r="H19">
        <v>15</v>
      </c>
      <c r="I19">
        <v>20</v>
      </c>
      <c r="J19">
        <v>0</v>
      </c>
      <c r="K19">
        <v>0</v>
      </c>
      <c r="L19">
        <v>1</v>
      </c>
      <c r="M19">
        <v>0</v>
      </c>
      <c r="N19">
        <v>0</v>
      </c>
      <c r="O19">
        <v>0</v>
      </c>
      <c r="P19">
        <v>36880</v>
      </c>
    </row>
    <row r="20" spans="1:16">
      <c r="A20">
        <v>1488</v>
      </c>
      <c r="B20">
        <v>61</v>
      </c>
      <c r="C20">
        <v>2.91</v>
      </c>
      <c r="D20">
        <v>3.03</v>
      </c>
      <c r="E20">
        <v>9.5</v>
      </c>
      <c r="F20">
        <v>48</v>
      </c>
      <c r="G20">
        <v>5100</v>
      </c>
      <c r="H20">
        <v>47</v>
      </c>
      <c r="I20">
        <v>53</v>
      </c>
      <c r="J20">
        <v>0</v>
      </c>
      <c r="K20">
        <v>0</v>
      </c>
      <c r="L20">
        <v>0</v>
      </c>
      <c r="M20">
        <v>0</v>
      </c>
      <c r="N20">
        <v>1</v>
      </c>
      <c r="O20">
        <v>0</v>
      </c>
      <c r="P20">
        <v>5151</v>
      </c>
    </row>
    <row r="21" spans="1:16">
      <c r="A21">
        <v>1874</v>
      </c>
      <c r="B21">
        <v>90</v>
      </c>
      <c r="C21">
        <v>3.03</v>
      </c>
      <c r="D21">
        <v>3.11</v>
      </c>
      <c r="E21">
        <v>9.6</v>
      </c>
      <c r="F21">
        <v>70</v>
      </c>
      <c r="G21">
        <v>5400</v>
      </c>
      <c r="H21">
        <v>38</v>
      </c>
      <c r="I21">
        <v>43</v>
      </c>
      <c r="J21">
        <v>0</v>
      </c>
      <c r="K21">
        <v>0</v>
      </c>
      <c r="L21">
        <v>0</v>
      </c>
      <c r="M21">
        <v>0</v>
      </c>
      <c r="N21">
        <v>1</v>
      </c>
      <c r="O21">
        <v>0</v>
      </c>
      <c r="P21">
        <v>6295</v>
      </c>
    </row>
    <row r="22" spans="1:16">
      <c r="A22">
        <v>1909</v>
      </c>
      <c r="B22">
        <v>90</v>
      </c>
      <c r="C22">
        <v>3.03</v>
      </c>
      <c r="D22">
        <v>3.11</v>
      </c>
      <c r="E22">
        <v>9.6</v>
      </c>
      <c r="F22">
        <v>70</v>
      </c>
      <c r="G22">
        <v>5400</v>
      </c>
      <c r="H22">
        <v>38</v>
      </c>
      <c r="I22">
        <v>43</v>
      </c>
      <c r="J22">
        <v>0</v>
      </c>
      <c r="K22">
        <v>0</v>
      </c>
      <c r="L22">
        <v>1</v>
      </c>
      <c r="M22">
        <v>0</v>
      </c>
      <c r="N22">
        <v>1</v>
      </c>
      <c r="O22">
        <v>0</v>
      </c>
      <c r="P22">
        <v>6575</v>
      </c>
    </row>
    <row r="23" spans="1:16">
      <c r="A23">
        <v>1876</v>
      </c>
      <c r="B23">
        <v>90</v>
      </c>
      <c r="C23">
        <v>2.97</v>
      </c>
      <c r="D23">
        <v>3.23</v>
      </c>
      <c r="E23">
        <v>9.41</v>
      </c>
      <c r="F23">
        <v>68</v>
      </c>
      <c r="G23">
        <v>5500</v>
      </c>
      <c r="H23">
        <v>37</v>
      </c>
      <c r="I23">
        <v>41</v>
      </c>
      <c r="J23">
        <v>0</v>
      </c>
      <c r="K23">
        <v>0</v>
      </c>
      <c r="L23">
        <v>0</v>
      </c>
      <c r="M23">
        <v>0</v>
      </c>
      <c r="N23">
        <v>1</v>
      </c>
      <c r="O23">
        <v>0</v>
      </c>
      <c r="P23">
        <v>5572</v>
      </c>
    </row>
    <row r="24" spans="1:16">
      <c r="A24">
        <v>1876</v>
      </c>
      <c r="B24">
        <v>90</v>
      </c>
      <c r="C24">
        <v>2.97</v>
      </c>
      <c r="D24">
        <v>3.23</v>
      </c>
      <c r="E24">
        <v>9.4</v>
      </c>
      <c r="F24">
        <v>68</v>
      </c>
      <c r="G24">
        <v>5500</v>
      </c>
      <c r="H24">
        <v>31</v>
      </c>
      <c r="I24">
        <v>38</v>
      </c>
      <c r="J24">
        <v>0</v>
      </c>
      <c r="K24">
        <v>0</v>
      </c>
      <c r="L24">
        <v>0</v>
      </c>
      <c r="M24">
        <v>0</v>
      </c>
      <c r="N24">
        <v>1</v>
      </c>
      <c r="O24">
        <v>0</v>
      </c>
      <c r="P24">
        <v>6377</v>
      </c>
    </row>
    <row r="25" spans="1:16">
      <c r="A25">
        <v>2128</v>
      </c>
      <c r="B25">
        <v>98</v>
      </c>
      <c r="C25">
        <v>3.03</v>
      </c>
      <c r="D25">
        <v>3.39</v>
      </c>
      <c r="E25">
        <v>7.6</v>
      </c>
      <c r="F25">
        <v>102</v>
      </c>
      <c r="G25">
        <v>5500</v>
      </c>
      <c r="H25">
        <v>24</v>
      </c>
      <c r="I25">
        <v>30</v>
      </c>
      <c r="J25">
        <v>0</v>
      </c>
      <c r="K25">
        <v>1</v>
      </c>
      <c r="L25">
        <v>0</v>
      </c>
      <c r="M25">
        <v>0</v>
      </c>
      <c r="N25">
        <v>1</v>
      </c>
      <c r="O25">
        <v>0</v>
      </c>
      <c r="P25">
        <v>7957</v>
      </c>
    </row>
    <row r="26" spans="1:16">
      <c r="A26">
        <v>1967</v>
      </c>
      <c r="B26">
        <v>90</v>
      </c>
      <c r="C26">
        <v>2.97</v>
      </c>
      <c r="D26">
        <v>3.23</v>
      </c>
      <c r="E26">
        <v>9.4</v>
      </c>
      <c r="F26">
        <v>68</v>
      </c>
      <c r="G26">
        <v>5500</v>
      </c>
      <c r="H26">
        <v>31</v>
      </c>
      <c r="I26">
        <v>38</v>
      </c>
      <c r="J26">
        <v>0</v>
      </c>
      <c r="K26">
        <v>0</v>
      </c>
      <c r="L26">
        <v>1</v>
      </c>
      <c r="M26">
        <v>0</v>
      </c>
      <c r="N26">
        <v>1</v>
      </c>
      <c r="O26">
        <v>0</v>
      </c>
      <c r="P26">
        <v>6229</v>
      </c>
    </row>
    <row r="27" spans="1:16">
      <c r="A27">
        <v>1989</v>
      </c>
      <c r="B27">
        <v>90</v>
      </c>
      <c r="C27">
        <v>2.97</v>
      </c>
      <c r="D27">
        <v>3.23</v>
      </c>
      <c r="E27">
        <v>9.4</v>
      </c>
      <c r="F27">
        <v>68</v>
      </c>
      <c r="G27">
        <v>5500</v>
      </c>
      <c r="H27">
        <v>31</v>
      </c>
      <c r="I27">
        <v>38</v>
      </c>
      <c r="J27">
        <v>0</v>
      </c>
      <c r="K27">
        <v>0</v>
      </c>
      <c r="L27">
        <v>1</v>
      </c>
      <c r="M27">
        <v>0</v>
      </c>
      <c r="N27">
        <v>1</v>
      </c>
      <c r="O27">
        <v>0</v>
      </c>
      <c r="P27">
        <v>6692</v>
      </c>
    </row>
    <row r="28" spans="1:16">
      <c r="A28">
        <v>1989</v>
      </c>
      <c r="B28">
        <v>90</v>
      </c>
      <c r="C28">
        <v>2.97</v>
      </c>
      <c r="D28">
        <v>3.23</v>
      </c>
      <c r="E28">
        <v>9.4</v>
      </c>
      <c r="F28">
        <v>68</v>
      </c>
      <c r="G28">
        <v>5500</v>
      </c>
      <c r="H28">
        <v>31</v>
      </c>
      <c r="I28">
        <v>38</v>
      </c>
      <c r="J28">
        <v>0</v>
      </c>
      <c r="K28">
        <v>0</v>
      </c>
      <c r="L28">
        <v>1</v>
      </c>
      <c r="M28">
        <v>0</v>
      </c>
      <c r="N28">
        <v>1</v>
      </c>
      <c r="O28">
        <v>0</v>
      </c>
      <c r="P28">
        <v>7609</v>
      </c>
    </row>
    <row r="29" spans="1:16">
      <c r="A29">
        <v>2191</v>
      </c>
      <c r="B29">
        <v>98</v>
      </c>
      <c r="C29">
        <v>3.03</v>
      </c>
      <c r="D29">
        <v>3.39</v>
      </c>
      <c r="E29">
        <v>7.6</v>
      </c>
      <c r="F29">
        <v>102</v>
      </c>
      <c r="G29">
        <v>5500</v>
      </c>
      <c r="H29">
        <v>24</v>
      </c>
      <c r="I29">
        <v>30</v>
      </c>
      <c r="J29">
        <v>0</v>
      </c>
      <c r="K29">
        <v>1</v>
      </c>
      <c r="L29">
        <v>0</v>
      </c>
      <c r="M29">
        <v>0</v>
      </c>
      <c r="N29">
        <v>1</v>
      </c>
      <c r="O29">
        <v>0</v>
      </c>
      <c r="P29">
        <v>8558</v>
      </c>
    </row>
    <row r="30" spans="1:16">
      <c r="A30">
        <v>2535</v>
      </c>
      <c r="B30">
        <v>122</v>
      </c>
      <c r="C30">
        <v>3.34</v>
      </c>
      <c r="D30">
        <v>3.46</v>
      </c>
      <c r="E30">
        <v>8.5</v>
      </c>
      <c r="F30">
        <v>88</v>
      </c>
      <c r="G30">
        <v>5000</v>
      </c>
      <c r="H30">
        <v>24</v>
      </c>
      <c r="I30">
        <v>30</v>
      </c>
      <c r="J30">
        <v>0</v>
      </c>
      <c r="K30">
        <v>0</v>
      </c>
      <c r="L30">
        <v>1</v>
      </c>
      <c r="M30">
        <v>0</v>
      </c>
      <c r="N30">
        <v>1</v>
      </c>
      <c r="O30">
        <v>0</v>
      </c>
      <c r="P30">
        <v>8921</v>
      </c>
    </row>
    <row r="31" spans="1:16">
      <c r="A31">
        <v>2811</v>
      </c>
      <c r="B31">
        <v>156</v>
      </c>
      <c r="C31">
        <v>3.6</v>
      </c>
      <c r="D31">
        <v>3.9</v>
      </c>
      <c r="E31">
        <v>7</v>
      </c>
      <c r="F31">
        <v>145</v>
      </c>
      <c r="G31">
        <v>5000</v>
      </c>
      <c r="H31">
        <v>19</v>
      </c>
      <c r="I31">
        <v>24</v>
      </c>
      <c r="J31">
        <v>0</v>
      </c>
      <c r="K31">
        <v>1</v>
      </c>
      <c r="L31">
        <v>0</v>
      </c>
      <c r="M31">
        <v>0</v>
      </c>
      <c r="N31">
        <v>1</v>
      </c>
      <c r="O31">
        <v>0</v>
      </c>
      <c r="P31">
        <v>12964</v>
      </c>
    </row>
    <row r="32" spans="1:16">
      <c r="A32">
        <v>1713</v>
      </c>
      <c r="B32">
        <v>92</v>
      </c>
      <c r="C32">
        <v>2.91</v>
      </c>
      <c r="D32">
        <v>3.41</v>
      </c>
      <c r="E32">
        <v>9.6</v>
      </c>
      <c r="F32">
        <v>58</v>
      </c>
      <c r="G32">
        <v>4800</v>
      </c>
      <c r="H32">
        <v>49</v>
      </c>
      <c r="I32">
        <v>54</v>
      </c>
      <c r="J32">
        <v>0</v>
      </c>
      <c r="K32">
        <v>0</v>
      </c>
      <c r="L32">
        <v>0</v>
      </c>
      <c r="M32">
        <v>0</v>
      </c>
      <c r="N32">
        <v>1</v>
      </c>
      <c r="O32">
        <v>0</v>
      </c>
      <c r="P32">
        <v>6479</v>
      </c>
    </row>
    <row r="33" spans="1:16">
      <c r="A33">
        <v>1819</v>
      </c>
      <c r="B33">
        <v>92</v>
      </c>
      <c r="C33">
        <v>2.91</v>
      </c>
      <c r="D33">
        <v>3.41</v>
      </c>
      <c r="E33">
        <v>9.1999999999999993</v>
      </c>
      <c r="F33">
        <v>76</v>
      </c>
      <c r="G33">
        <v>6000</v>
      </c>
      <c r="H33">
        <v>31</v>
      </c>
      <c r="I33">
        <v>38</v>
      </c>
      <c r="J33">
        <v>0</v>
      </c>
      <c r="K33">
        <v>0</v>
      </c>
      <c r="L33">
        <v>0</v>
      </c>
      <c r="M33">
        <v>0</v>
      </c>
      <c r="N33">
        <v>1</v>
      </c>
      <c r="O33">
        <v>0</v>
      </c>
      <c r="P33">
        <v>6855</v>
      </c>
    </row>
    <row r="34" spans="1:16">
      <c r="A34">
        <v>1837</v>
      </c>
      <c r="B34">
        <v>79</v>
      </c>
      <c r="C34">
        <v>2.91</v>
      </c>
      <c r="D34">
        <v>3.07</v>
      </c>
      <c r="E34">
        <v>10.1</v>
      </c>
      <c r="F34">
        <v>60</v>
      </c>
      <c r="G34">
        <v>5500</v>
      </c>
      <c r="H34">
        <v>38</v>
      </c>
      <c r="I34">
        <v>42</v>
      </c>
      <c r="J34">
        <v>0</v>
      </c>
      <c r="K34">
        <v>0</v>
      </c>
      <c r="L34">
        <v>0</v>
      </c>
      <c r="M34">
        <v>0</v>
      </c>
      <c r="N34">
        <v>1</v>
      </c>
      <c r="O34">
        <v>0</v>
      </c>
      <c r="P34">
        <v>5399</v>
      </c>
    </row>
    <row r="35" spans="1:16">
      <c r="A35">
        <v>1940</v>
      </c>
      <c r="B35">
        <v>92</v>
      </c>
      <c r="C35">
        <v>2.91</v>
      </c>
      <c r="D35">
        <v>3.41</v>
      </c>
      <c r="E35">
        <v>9.1999999999999993</v>
      </c>
      <c r="F35">
        <v>76</v>
      </c>
      <c r="G35">
        <v>6000</v>
      </c>
      <c r="H35">
        <v>30</v>
      </c>
      <c r="I35">
        <v>34</v>
      </c>
      <c r="J35">
        <v>0</v>
      </c>
      <c r="K35">
        <v>0</v>
      </c>
      <c r="L35">
        <v>0</v>
      </c>
      <c r="M35">
        <v>0</v>
      </c>
      <c r="N35">
        <v>1</v>
      </c>
      <c r="O35">
        <v>0</v>
      </c>
      <c r="P35">
        <v>6529</v>
      </c>
    </row>
    <row r="36" spans="1:16">
      <c r="A36">
        <v>1956</v>
      </c>
      <c r="B36">
        <v>92</v>
      </c>
      <c r="C36">
        <v>2.91</v>
      </c>
      <c r="D36">
        <v>3.41</v>
      </c>
      <c r="E36">
        <v>9.1999999999999993</v>
      </c>
      <c r="F36">
        <v>76</v>
      </c>
      <c r="G36">
        <v>6000</v>
      </c>
      <c r="H36">
        <v>30</v>
      </c>
      <c r="I36">
        <v>34</v>
      </c>
      <c r="J36">
        <v>0</v>
      </c>
      <c r="K36">
        <v>0</v>
      </c>
      <c r="L36">
        <v>0</v>
      </c>
      <c r="M36">
        <v>0</v>
      </c>
      <c r="N36">
        <v>1</v>
      </c>
      <c r="O36">
        <v>0</v>
      </c>
      <c r="P36">
        <v>7129</v>
      </c>
    </row>
    <row r="37" spans="1:16">
      <c r="A37">
        <v>2010</v>
      </c>
      <c r="B37">
        <v>92</v>
      </c>
      <c r="C37">
        <v>2.91</v>
      </c>
      <c r="D37">
        <v>3.41</v>
      </c>
      <c r="E37">
        <v>9.1999999999999993</v>
      </c>
      <c r="F37">
        <v>76</v>
      </c>
      <c r="G37">
        <v>6000</v>
      </c>
      <c r="H37">
        <v>30</v>
      </c>
      <c r="I37">
        <v>34</v>
      </c>
      <c r="J37">
        <v>0</v>
      </c>
      <c r="K37">
        <v>0</v>
      </c>
      <c r="L37">
        <v>1</v>
      </c>
      <c r="M37">
        <v>0</v>
      </c>
      <c r="N37">
        <v>1</v>
      </c>
      <c r="O37">
        <v>0</v>
      </c>
      <c r="P37">
        <v>7295</v>
      </c>
    </row>
    <row r="38" spans="1:16">
      <c r="A38">
        <v>2024</v>
      </c>
      <c r="B38">
        <v>92</v>
      </c>
      <c r="C38">
        <v>2.92</v>
      </c>
      <c r="D38">
        <v>3.41</v>
      </c>
      <c r="E38">
        <v>9.1999999999999993</v>
      </c>
      <c r="F38">
        <v>76</v>
      </c>
      <c r="G38">
        <v>6000</v>
      </c>
      <c r="H38">
        <v>30</v>
      </c>
      <c r="I38">
        <v>34</v>
      </c>
      <c r="J38">
        <v>0</v>
      </c>
      <c r="K38">
        <v>0</v>
      </c>
      <c r="L38">
        <v>1</v>
      </c>
      <c r="M38">
        <v>0</v>
      </c>
      <c r="N38">
        <v>1</v>
      </c>
      <c r="O38">
        <v>0</v>
      </c>
      <c r="P38">
        <v>7295</v>
      </c>
    </row>
    <row r="39" spans="1:16">
      <c r="A39">
        <v>2236</v>
      </c>
      <c r="B39">
        <v>110</v>
      </c>
      <c r="C39">
        <v>3.15</v>
      </c>
      <c r="D39">
        <v>3.58</v>
      </c>
      <c r="E39">
        <v>9</v>
      </c>
      <c r="F39">
        <v>86</v>
      </c>
      <c r="G39">
        <v>5800</v>
      </c>
      <c r="H39">
        <v>27</v>
      </c>
      <c r="I39">
        <v>33</v>
      </c>
      <c r="J39">
        <v>0</v>
      </c>
      <c r="K39">
        <v>0</v>
      </c>
      <c r="L39">
        <v>0</v>
      </c>
      <c r="M39">
        <v>0</v>
      </c>
      <c r="N39">
        <v>1</v>
      </c>
      <c r="O39">
        <v>0</v>
      </c>
      <c r="P39">
        <v>7895</v>
      </c>
    </row>
    <row r="40" spans="1:16">
      <c r="A40">
        <v>2289</v>
      </c>
      <c r="B40">
        <v>110</v>
      </c>
      <c r="C40">
        <v>3.15</v>
      </c>
      <c r="D40">
        <v>3.58</v>
      </c>
      <c r="E40">
        <v>9</v>
      </c>
      <c r="F40">
        <v>86</v>
      </c>
      <c r="G40">
        <v>5800</v>
      </c>
      <c r="H40">
        <v>27</v>
      </c>
      <c r="I40">
        <v>33</v>
      </c>
      <c r="J40">
        <v>0</v>
      </c>
      <c r="K40">
        <v>0</v>
      </c>
      <c r="L40">
        <v>0</v>
      </c>
      <c r="M40">
        <v>0</v>
      </c>
      <c r="N40">
        <v>1</v>
      </c>
      <c r="O40">
        <v>0</v>
      </c>
      <c r="P40">
        <v>9095</v>
      </c>
    </row>
    <row r="41" spans="1:16">
      <c r="A41">
        <v>2304</v>
      </c>
      <c r="B41">
        <v>110</v>
      </c>
      <c r="C41">
        <v>3.15</v>
      </c>
      <c r="D41">
        <v>3.58</v>
      </c>
      <c r="E41">
        <v>9</v>
      </c>
      <c r="F41">
        <v>86</v>
      </c>
      <c r="G41">
        <v>5800</v>
      </c>
      <c r="H41">
        <v>27</v>
      </c>
      <c r="I41">
        <v>33</v>
      </c>
      <c r="J41">
        <v>0</v>
      </c>
      <c r="K41">
        <v>0</v>
      </c>
      <c r="L41">
        <v>1</v>
      </c>
      <c r="M41">
        <v>0</v>
      </c>
      <c r="N41">
        <v>1</v>
      </c>
      <c r="O41">
        <v>0</v>
      </c>
      <c r="P41">
        <v>8845</v>
      </c>
    </row>
    <row r="42" spans="1:16">
      <c r="A42">
        <v>2372</v>
      </c>
      <c r="B42">
        <v>110</v>
      </c>
      <c r="C42">
        <v>3.15</v>
      </c>
      <c r="D42">
        <v>3.58</v>
      </c>
      <c r="E42">
        <v>9</v>
      </c>
      <c r="F42">
        <v>86</v>
      </c>
      <c r="G42">
        <v>5800</v>
      </c>
      <c r="H42">
        <v>27</v>
      </c>
      <c r="I42">
        <v>33</v>
      </c>
      <c r="J42">
        <v>0</v>
      </c>
      <c r="K42">
        <v>0</v>
      </c>
      <c r="L42">
        <v>1</v>
      </c>
      <c r="M42">
        <v>0</v>
      </c>
      <c r="N42">
        <v>1</v>
      </c>
      <c r="O42">
        <v>0</v>
      </c>
      <c r="P42">
        <v>10295</v>
      </c>
    </row>
    <row r="43" spans="1:16">
      <c r="A43">
        <v>2465</v>
      </c>
      <c r="B43">
        <v>110</v>
      </c>
      <c r="C43">
        <v>3.15</v>
      </c>
      <c r="D43">
        <v>3.58</v>
      </c>
      <c r="E43">
        <v>9</v>
      </c>
      <c r="F43">
        <v>101</v>
      </c>
      <c r="G43">
        <v>5800</v>
      </c>
      <c r="H43">
        <v>24</v>
      </c>
      <c r="I43">
        <v>28</v>
      </c>
      <c r="J43">
        <v>0</v>
      </c>
      <c r="K43">
        <v>0</v>
      </c>
      <c r="L43">
        <v>1</v>
      </c>
      <c r="M43">
        <v>0</v>
      </c>
      <c r="N43">
        <v>1</v>
      </c>
      <c r="O43">
        <v>0</v>
      </c>
      <c r="P43">
        <v>12945</v>
      </c>
    </row>
    <row r="44" spans="1:16">
      <c r="A44">
        <v>2293</v>
      </c>
      <c r="B44">
        <v>110</v>
      </c>
      <c r="C44">
        <v>3.15</v>
      </c>
      <c r="D44">
        <v>3.58</v>
      </c>
      <c r="E44">
        <v>9.1</v>
      </c>
      <c r="F44">
        <v>100</v>
      </c>
      <c r="G44">
        <v>5500</v>
      </c>
      <c r="H44">
        <v>25</v>
      </c>
      <c r="I44">
        <v>31</v>
      </c>
      <c r="J44">
        <v>0</v>
      </c>
      <c r="K44">
        <v>0</v>
      </c>
      <c r="L44">
        <v>0</v>
      </c>
      <c r="M44">
        <v>0</v>
      </c>
      <c r="N44">
        <v>1</v>
      </c>
      <c r="O44">
        <v>0</v>
      </c>
      <c r="P44">
        <v>10345</v>
      </c>
    </row>
    <row r="45" spans="1:16">
      <c r="A45">
        <v>2337</v>
      </c>
      <c r="B45">
        <v>111</v>
      </c>
      <c r="C45">
        <v>3.31</v>
      </c>
      <c r="D45">
        <v>3.23</v>
      </c>
      <c r="E45">
        <v>8.5</v>
      </c>
      <c r="F45">
        <v>78</v>
      </c>
      <c r="G45">
        <v>4800</v>
      </c>
      <c r="H45">
        <v>24</v>
      </c>
      <c r="I45">
        <v>29</v>
      </c>
      <c r="J45">
        <v>0</v>
      </c>
      <c r="K45">
        <v>0</v>
      </c>
      <c r="L45">
        <v>1</v>
      </c>
      <c r="M45">
        <v>0</v>
      </c>
      <c r="N45">
        <v>0</v>
      </c>
      <c r="O45">
        <v>0</v>
      </c>
      <c r="P45">
        <v>6785</v>
      </c>
    </row>
    <row r="46" spans="1:16">
      <c r="A46">
        <v>1874</v>
      </c>
      <c r="B46">
        <v>90</v>
      </c>
      <c r="C46">
        <v>3.03</v>
      </c>
      <c r="D46">
        <v>3.11</v>
      </c>
      <c r="E46">
        <v>9.6</v>
      </c>
      <c r="F46">
        <v>70</v>
      </c>
      <c r="G46">
        <v>5400</v>
      </c>
      <c r="H46">
        <v>38</v>
      </c>
      <c r="I46">
        <v>43</v>
      </c>
      <c r="J46">
        <v>0</v>
      </c>
      <c r="K46">
        <v>0</v>
      </c>
      <c r="L46">
        <v>0</v>
      </c>
      <c r="M46">
        <v>0</v>
      </c>
      <c r="N46">
        <v>1</v>
      </c>
      <c r="O46">
        <v>0</v>
      </c>
      <c r="P46">
        <v>8916.5</v>
      </c>
    </row>
    <row r="47" spans="1:16">
      <c r="A47">
        <v>1909</v>
      </c>
      <c r="B47">
        <v>90</v>
      </c>
      <c r="C47">
        <v>3.03</v>
      </c>
      <c r="D47">
        <v>3.11</v>
      </c>
      <c r="E47">
        <v>9.6</v>
      </c>
      <c r="F47">
        <v>70</v>
      </c>
      <c r="G47">
        <v>5400</v>
      </c>
      <c r="H47">
        <v>38</v>
      </c>
      <c r="I47">
        <v>43</v>
      </c>
      <c r="J47">
        <v>0</v>
      </c>
      <c r="K47">
        <v>0</v>
      </c>
      <c r="L47">
        <v>1</v>
      </c>
      <c r="M47">
        <v>0</v>
      </c>
      <c r="N47">
        <v>1</v>
      </c>
      <c r="O47">
        <v>0</v>
      </c>
      <c r="P47">
        <v>8916.5</v>
      </c>
    </row>
    <row r="48" spans="1:16">
      <c r="A48">
        <v>2734</v>
      </c>
      <c r="B48">
        <v>119</v>
      </c>
      <c r="C48">
        <v>3.43</v>
      </c>
      <c r="D48">
        <v>3.23</v>
      </c>
      <c r="E48">
        <v>9.1999999999999993</v>
      </c>
      <c r="F48">
        <v>90</v>
      </c>
      <c r="G48">
        <v>5000</v>
      </c>
      <c r="H48">
        <v>24</v>
      </c>
      <c r="I48">
        <v>29</v>
      </c>
      <c r="J48">
        <v>0</v>
      </c>
      <c r="K48">
        <v>0</v>
      </c>
      <c r="L48">
        <v>0</v>
      </c>
      <c r="M48">
        <v>0</v>
      </c>
      <c r="N48">
        <v>0</v>
      </c>
      <c r="O48">
        <v>0</v>
      </c>
      <c r="P48">
        <v>11048</v>
      </c>
    </row>
    <row r="49" spans="1:16">
      <c r="A49">
        <v>4066</v>
      </c>
      <c r="B49">
        <v>258</v>
      </c>
      <c r="C49">
        <v>3.63</v>
      </c>
      <c r="D49">
        <v>4.17</v>
      </c>
      <c r="E49">
        <v>8.1</v>
      </c>
      <c r="F49">
        <v>176</v>
      </c>
      <c r="G49">
        <v>4750</v>
      </c>
      <c r="H49">
        <v>15</v>
      </c>
      <c r="I49">
        <v>19</v>
      </c>
      <c r="J49">
        <v>0</v>
      </c>
      <c r="K49">
        <v>0</v>
      </c>
      <c r="L49">
        <v>1</v>
      </c>
      <c r="M49">
        <v>0</v>
      </c>
      <c r="N49">
        <v>0</v>
      </c>
      <c r="O49">
        <v>0</v>
      </c>
      <c r="P49">
        <v>32250</v>
      </c>
    </row>
    <row r="50" spans="1:16">
      <c r="A50">
        <v>4066</v>
      </c>
      <c r="B50">
        <v>258</v>
      </c>
      <c r="C50">
        <v>3.63</v>
      </c>
      <c r="D50">
        <v>4.17</v>
      </c>
      <c r="E50">
        <v>8.1</v>
      </c>
      <c r="F50">
        <v>176</v>
      </c>
      <c r="G50">
        <v>4750</v>
      </c>
      <c r="H50">
        <v>15</v>
      </c>
      <c r="I50">
        <v>19</v>
      </c>
      <c r="J50">
        <v>0</v>
      </c>
      <c r="K50">
        <v>0</v>
      </c>
      <c r="L50">
        <v>1</v>
      </c>
      <c r="M50">
        <v>0</v>
      </c>
      <c r="N50">
        <v>0</v>
      </c>
      <c r="O50">
        <v>0</v>
      </c>
      <c r="P50">
        <v>35550</v>
      </c>
    </row>
    <row r="51" spans="1:16">
      <c r="A51">
        <v>3950</v>
      </c>
      <c r="B51">
        <v>326</v>
      </c>
      <c r="C51">
        <v>3.54</v>
      </c>
      <c r="D51">
        <v>2.76</v>
      </c>
      <c r="E51">
        <v>11.5</v>
      </c>
      <c r="F51">
        <v>262</v>
      </c>
      <c r="G51">
        <v>5000</v>
      </c>
      <c r="H51">
        <v>13</v>
      </c>
      <c r="I51">
        <v>17</v>
      </c>
      <c r="J51">
        <v>0</v>
      </c>
      <c r="K51">
        <v>0</v>
      </c>
      <c r="L51">
        <v>0</v>
      </c>
      <c r="M51">
        <v>0</v>
      </c>
      <c r="N51">
        <v>0</v>
      </c>
      <c r="O51">
        <v>0</v>
      </c>
      <c r="P51">
        <v>36000</v>
      </c>
    </row>
    <row r="52" spans="1:16">
      <c r="A52">
        <v>1890</v>
      </c>
      <c r="B52">
        <v>91</v>
      </c>
      <c r="C52">
        <v>3.03</v>
      </c>
      <c r="D52">
        <v>3.15</v>
      </c>
      <c r="E52">
        <v>9</v>
      </c>
      <c r="F52">
        <v>68</v>
      </c>
      <c r="G52">
        <v>5000</v>
      </c>
      <c r="H52">
        <v>30</v>
      </c>
      <c r="I52">
        <v>31</v>
      </c>
      <c r="J52">
        <v>0</v>
      </c>
      <c r="K52">
        <v>0</v>
      </c>
      <c r="L52">
        <v>0</v>
      </c>
      <c r="M52">
        <v>0</v>
      </c>
      <c r="N52">
        <v>1</v>
      </c>
      <c r="O52">
        <v>0</v>
      </c>
      <c r="P52">
        <v>5195</v>
      </c>
    </row>
    <row r="53" spans="1:16">
      <c r="A53">
        <v>1900</v>
      </c>
      <c r="B53">
        <v>91</v>
      </c>
      <c r="C53">
        <v>3.03</v>
      </c>
      <c r="D53">
        <v>3.15</v>
      </c>
      <c r="E53">
        <v>9</v>
      </c>
      <c r="F53">
        <v>68</v>
      </c>
      <c r="G53">
        <v>5000</v>
      </c>
      <c r="H53">
        <v>31</v>
      </c>
      <c r="I53">
        <v>38</v>
      </c>
      <c r="J53">
        <v>0</v>
      </c>
      <c r="K53">
        <v>0</v>
      </c>
      <c r="L53">
        <v>0</v>
      </c>
      <c r="M53">
        <v>0</v>
      </c>
      <c r="N53">
        <v>1</v>
      </c>
      <c r="O53">
        <v>0</v>
      </c>
      <c r="P53">
        <v>6095</v>
      </c>
    </row>
    <row r="54" spans="1:16">
      <c r="A54">
        <v>1905</v>
      </c>
      <c r="B54">
        <v>91</v>
      </c>
      <c r="C54">
        <v>3.03</v>
      </c>
      <c r="D54">
        <v>3.15</v>
      </c>
      <c r="E54">
        <v>9</v>
      </c>
      <c r="F54">
        <v>68</v>
      </c>
      <c r="G54">
        <v>5000</v>
      </c>
      <c r="H54">
        <v>31</v>
      </c>
      <c r="I54">
        <v>38</v>
      </c>
      <c r="J54">
        <v>0</v>
      </c>
      <c r="K54">
        <v>0</v>
      </c>
      <c r="L54">
        <v>0</v>
      </c>
      <c r="M54">
        <v>0</v>
      </c>
      <c r="N54">
        <v>1</v>
      </c>
      <c r="O54">
        <v>0</v>
      </c>
      <c r="P54">
        <v>6795</v>
      </c>
    </row>
    <row r="55" spans="1:16">
      <c r="A55">
        <v>1945</v>
      </c>
      <c r="B55">
        <v>91</v>
      </c>
      <c r="C55">
        <v>3.03</v>
      </c>
      <c r="D55">
        <v>3.15</v>
      </c>
      <c r="E55">
        <v>9</v>
      </c>
      <c r="F55">
        <v>68</v>
      </c>
      <c r="G55">
        <v>5000</v>
      </c>
      <c r="H55">
        <v>31</v>
      </c>
      <c r="I55">
        <v>38</v>
      </c>
      <c r="J55">
        <v>0</v>
      </c>
      <c r="K55">
        <v>0</v>
      </c>
      <c r="L55">
        <v>1</v>
      </c>
      <c r="M55">
        <v>0</v>
      </c>
      <c r="N55">
        <v>1</v>
      </c>
      <c r="O55">
        <v>0</v>
      </c>
      <c r="P55">
        <v>6695</v>
      </c>
    </row>
    <row r="56" spans="1:16">
      <c r="A56">
        <v>1950</v>
      </c>
      <c r="B56">
        <v>91</v>
      </c>
      <c r="C56">
        <v>3.08</v>
      </c>
      <c r="D56">
        <v>3.15</v>
      </c>
      <c r="E56">
        <v>9</v>
      </c>
      <c r="F56">
        <v>68</v>
      </c>
      <c r="G56">
        <v>5000</v>
      </c>
      <c r="H56">
        <v>31</v>
      </c>
      <c r="I56">
        <v>38</v>
      </c>
      <c r="J56">
        <v>0</v>
      </c>
      <c r="K56">
        <v>0</v>
      </c>
      <c r="L56">
        <v>1</v>
      </c>
      <c r="M56">
        <v>0</v>
      </c>
      <c r="N56">
        <v>1</v>
      </c>
      <c r="O56">
        <v>0</v>
      </c>
      <c r="P56">
        <v>7395</v>
      </c>
    </row>
    <row r="57" spans="1:16">
      <c r="A57">
        <v>2380</v>
      </c>
      <c r="B57">
        <v>70</v>
      </c>
      <c r="C57">
        <v>3.33</v>
      </c>
      <c r="D57">
        <v>3.2549999999999999</v>
      </c>
      <c r="E57">
        <v>9.4</v>
      </c>
      <c r="F57">
        <v>101</v>
      </c>
      <c r="G57">
        <v>6000</v>
      </c>
      <c r="H57">
        <v>17</v>
      </c>
      <c r="I57">
        <v>23</v>
      </c>
      <c r="J57">
        <v>0</v>
      </c>
      <c r="K57">
        <v>0</v>
      </c>
      <c r="L57">
        <v>0</v>
      </c>
      <c r="M57">
        <v>0</v>
      </c>
      <c r="N57">
        <v>0</v>
      </c>
      <c r="O57">
        <v>0</v>
      </c>
      <c r="P57">
        <v>10945</v>
      </c>
    </row>
    <row r="58" spans="1:16">
      <c r="A58">
        <v>2380</v>
      </c>
      <c r="B58">
        <v>70</v>
      </c>
      <c r="C58">
        <v>3.33</v>
      </c>
      <c r="D58">
        <v>3.2549999999999999</v>
      </c>
      <c r="E58">
        <v>9.4</v>
      </c>
      <c r="F58">
        <v>101</v>
      </c>
      <c r="G58">
        <v>6000</v>
      </c>
      <c r="H58">
        <v>17</v>
      </c>
      <c r="I58">
        <v>23</v>
      </c>
      <c r="J58">
        <v>0</v>
      </c>
      <c r="K58">
        <v>0</v>
      </c>
      <c r="L58">
        <v>0</v>
      </c>
      <c r="M58">
        <v>0</v>
      </c>
      <c r="N58">
        <v>0</v>
      </c>
      <c r="O58">
        <v>0</v>
      </c>
      <c r="P58">
        <v>11845</v>
      </c>
    </row>
    <row r="59" spans="1:16">
      <c r="A59">
        <v>2385</v>
      </c>
      <c r="B59">
        <v>70</v>
      </c>
      <c r="C59">
        <v>3.33</v>
      </c>
      <c r="D59">
        <v>3.2549999999999999</v>
      </c>
      <c r="E59">
        <v>9.4</v>
      </c>
      <c r="F59">
        <v>101</v>
      </c>
      <c r="G59">
        <v>6000</v>
      </c>
      <c r="H59">
        <v>17</v>
      </c>
      <c r="I59">
        <v>23</v>
      </c>
      <c r="J59">
        <v>0</v>
      </c>
      <c r="K59">
        <v>0</v>
      </c>
      <c r="L59">
        <v>0</v>
      </c>
      <c r="M59">
        <v>0</v>
      </c>
      <c r="N59">
        <v>0</v>
      </c>
      <c r="O59">
        <v>0</v>
      </c>
      <c r="P59">
        <v>13645</v>
      </c>
    </row>
    <row r="60" spans="1:16">
      <c r="A60">
        <v>2500</v>
      </c>
      <c r="B60">
        <v>80</v>
      </c>
      <c r="C60">
        <v>3.33</v>
      </c>
      <c r="D60">
        <v>3.2549999999999999</v>
      </c>
      <c r="E60">
        <v>9.4</v>
      </c>
      <c r="F60">
        <v>135</v>
      </c>
      <c r="G60">
        <v>6000</v>
      </c>
      <c r="H60">
        <v>16</v>
      </c>
      <c r="I60">
        <v>23</v>
      </c>
      <c r="J60">
        <v>0</v>
      </c>
      <c r="K60">
        <v>0</v>
      </c>
      <c r="L60">
        <v>0</v>
      </c>
      <c r="M60">
        <v>0</v>
      </c>
      <c r="N60">
        <v>0</v>
      </c>
      <c r="O60">
        <v>0</v>
      </c>
      <c r="P60">
        <v>15645</v>
      </c>
    </row>
    <row r="61" spans="1:16">
      <c r="A61">
        <v>2385</v>
      </c>
      <c r="B61">
        <v>122</v>
      </c>
      <c r="C61">
        <v>3.39</v>
      </c>
      <c r="D61">
        <v>3.39</v>
      </c>
      <c r="E61">
        <v>8.6</v>
      </c>
      <c r="F61">
        <v>84</v>
      </c>
      <c r="G61">
        <v>4800</v>
      </c>
      <c r="H61">
        <v>26</v>
      </c>
      <c r="I61">
        <v>32</v>
      </c>
      <c r="J61">
        <v>0</v>
      </c>
      <c r="K61">
        <v>0</v>
      </c>
      <c r="L61">
        <v>0</v>
      </c>
      <c r="M61">
        <v>0</v>
      </c>
      <c r="N61">
        <v>1</v>
      </c>
      <c r="O61">
        <v>0</v>
      </c>
      <c r="P61">
        <v>8845</v>
      </c>
    </row>
    <row r="62" spans="1:16">
      <c r="A62">
        <v>2410</v>
      </c>
      <c r="B62">
        <v>122</v>
      </c>
      <c r="C62">
        <v>3.39</v>
      </c>
      <c r="D62">
        <v>3.39</v>
      </c>
      <c r="E62">
        <v>8.6</v>
      </c>
      <c r="F62">
        <v>84</v>
      </c>
      <c r="G62">
        <v>4800</v>
      </c>
      <c r="H62">
        <v>26</v>
      </c>
      <c r="I62">
        <v>32</v>
      </c>
      <c r="J62">
        <v>0</v>
      </c>
      <c r="K62">
        <v>0</v>
      </c>
      <c r="L62">
        <v>1</v>
      </c>
      <c r="M62">
        <v>0</v>
      </c>
      <c r="N62">
        <v>1</v>
      </c>
      <c r="O62">
        <v>0</v>
      </c>
      <c r="P62">
        <v>8495</v>
      </c>
    </row>
    <row r="63" spans="1:16">
      <c r="A63">
        <v>2385</v>
      </c>
      <c r="B63">
        <v>122</v>
      </c>
      <c r="C63">
        <v>3.39</v>
      </c>
      <c r="D63">
        <v>3.39</v>
      </c>
      <c r="E63">
        <v>8.6</v>
      </c>
      <c r="F63">
        <v>84</v>
      </c>
      <c r="G63">
        <v>4800</v>
      </c>
      <c r="H63">
        <v>26</v>
      </c>
      <c r="I63">
        <v>32</v>
      </c>
      <c r="J63">
        <v>0</v>
      </c>
      <c r="K63">
        <v>0</v>
      </c>
      <c r="L63">
        <v>0</v>
      </c>
      <c r="M63">
        <v>0</v>
      </c>
      <c r="N63">
        <v>1</v>
      </c>
      <c r="O63">
        <v>0</v>
      </c>
      <c r="P63">
        <v>10595</v>
      </c>
    </row>
    <row r="64" spans="1:16">
      <c r="A64">
        <v>2410</v>
      </c>
      <c r="B64">
        <v>122</v>
      </c>
      <c r="C64">
        <v>3.39</v>
      </c>
      <c r="D64">
        <v>3.39</v>
      </c>
      <c r="E64">
        <v>8.6</v>
      </c>
      <c r="F64">
        <v>84</v>
      </c>
      <c r="G64">
        <v>4800</v>
      </c>
      <c r="H64">
        <v>26</v>
      </c>
      <c r="I64">
        <v>32</v>
      </c>
      <c r="J64">
        <v>0</v>
      </c>
      <c r="K64">
        <v>0</v>
      </c>
      <c r="L64">
        <v>1</v>
      </c>
      <c r="M64">
        <v>0</v>
      </c>
      <c r="N64">
        <v>1</v>
      </c>
      <c r="O64">
        <v>0</v>
      </c>
      <c r="P64">
        <v>10245</v>
      </c>
    </row>
    <row r="65" spans="1:16">
      <c r="A65">
        <v>2443</v>
      </c>
      <c r="B65">
        <v>122</v>
      </c>
      <c r="C65">
        <v>3.39</v>
      </c>
      <c r="D65">
        <v>3.39</v>
      </c>
      <c r="E65">
        <v>22.7</v>
      </c>
      <c r="F65">
        <v>64</v>
      </c>
      <c r="G65">
        <v>4650</v>
      </c>
      <c r="H65">
        <v>36</v>
      </c>
      <c r="I65">
        <v>42</v>
      </c>
      <c r="J65">
        <v>1</v>
      </c>
      <c r="K65">
        <v>0</v>
      </c>
      <c r="L65">
        <v>1</v>
      </c>
      <c r="M65">
        <v>0</v>
      </c>
      <c r="N65">
        <v>1</v>
      </c>
      <c r="O65">
        <v>0</v>
      </c>
      <c r="P65">
        <v>10795</v>
      </c>
    </row>
    <row r="66" spans="1:16">
      <c r="A66">
        <v>2425</v>
      </c>
      <c r="B66">
        <v>122</v>
      </c>
      <c r="C66">
        <v>3.39</v>
      </c>
      <c r="D66">
        <v>3.39</v>
      </c>
      <c r="E66">
        <v>8.6</v>
      </c>
      <c r="F66">
        <v>84</v>
      </c>
      <c r="G66">
        <v>4800</v>
      </c>
      <c r="H66">
        <v>26</v>
      </c>
      <c r="I66">
        <v>32</v>
      </c>
      <c r="J66">
        <v>0</v>
      </c>
      <c r="K66">
        <v>0</v>
      </c>
      <c r="L66">
        <v>1</v>
      </c>
      <c r="M66">
        <v>0</v>
      </c>
      <c r="N66">
        <v>1</v>
      </c>
      <c r="O66">
        <v>0</v>
      </c>
      <c r="P66">
        <v>11245</v>
      </c>
    </row>
    <row r="67" spans="1:16">
      <c r="A67">
        <v>2670</v>
      </c>
      <c r="B67">
        <v>140</v>
      </c>
      <c r="C67">
        <v>3.76</v>
      </c>
      <c r="D67">
        <v>3.16</v>
      </c>
      <c r="E67">
        <v>8</v>
      </c>
      <c r="F67">
        <v>120</v>
      </c>
      <c r="G67">
        <v>5000</v>
      </c>
      <c r="H67">
        <v>19</v>
      </c>
      <c r="I67">
        <v>27</v>
      </c>
      <c r="J67">
        <v>0</v>
      </c>
      <c r="K67">
        <v>0</v>
      </c>
      <c r="L67">
        <v>1</v>
      </c>
      <c r="M67">
        <v>0</v>
      </c>
      <c r="N67">
        <v>0</v>
      </c>
      <c r="O67">
        <v>0</v>
      </c>
      <c r="P67">
        <v>18280</v>
      </c>
    </row>
    <row r="68" spans="1:16">
      <c r="A68">
        <v>2700</v>
      </c>
      <c r="B68">
        <v>134</v>
      </c>
      <c r="C68">
        <v>3.43</v>
      </c>
      <c r="D68">
        <v>3.64</v>
      </c>
      <c r="E68">
        <v>22</v>
      </c>
      <c r="F68">
        <v>72</v>
      </c>
      <c r="G68">
        <v>4200</v>
      </c>
      <c r="H68">
        <v>31</v>
      </c>
      <c r="I68">
        <v>39</v>
      </c>
      <c r="J68">
        <v>1</v>
      </c>
      <c r="K68">
        <v>0</v>
      </c>
      <c r="L68">
        <v>1</v>
      </c>
      <c r="M68">
        <v>0</v>
      </c>
      <c r="N68">
        <v>0</v>
      </c>
      <c r="O68">
        <v>0</v>
      </c>
      <c r="P68">
        <v>18344</v>
      </c>
    </row>
    <row r="69" spans="1:16">
      <c r="A69">
        <v>3515</v>
      </c>
      <c r="B69">
        <v>183</v>
      </c>
      <c r="C69">
        <v>3.58</v>
      </c>
      <c r="D69">
        <v>3.64</v>
      </c>
      <c r="E69">
        <v>21.5</v>
      </c>
      <c r="F69">
        <v>123</v>
      </c>
      <c r="G69">
        <v>4350</v>
      </c>
      <c r="H69">
        <v>22</v>
      </c>
      <c r="I69">
        <v>25</v>
      </c>
      <c r="J69">
        <v>1</v>
      </c>
      <c r="K69">
        <v>1</v>
      </c>
      <c r="L69">
        <v>1</v>
      </c>
      <c r="M69">
        <v>0</v>
      </c>
      <c r="N69">
        <v>0</v>
      </c>
      <c r="O69">
        <v>0</v>
      </c>
      <c r="P69">
        <v>25552</v>
      </c>
    </row>
    <row r="70" spans="1:16">
      <c r="A70">
        <v>3750</v>
      </c>
      <c r="B70">
        <v>183</v>
      </c>
      <c r="C70">
        <v>3.58</v>
      </c>
      <c r="D70">
        <v>3.64</v>
      </c>
      <c r="E70">
        <v>21.5</v>
      </c>
      <c r="F70">
        <v>123</v>
      </c>
      <c r="G70">
        <v>4350</v>
      </c>
      <c r="H70">
        <v>22</v>
      </c>
      <c r="I70">
        <v>25</v>
      </c>
      <c r="J70">
        <v>1</v>
      </c>
      <c r="K70">
        <v>1</v>
      </c>
      <c r="L70">
        <v>1</v>
      </c>
      <c r="M70">
        <v>0</v>
      </c>
      <c r="N70">
        <v>0</v>
      </c>
      <c r="O70">
        <v>0</v>
      </c>
      <c r="P70">
        <v>28248</v>
      </c>
    </row>
    <row r="71" spans="1:16">
      <c r="A71">
        <v>3495</v>
      </c>
      <c r="B71">
        <v>183</v>
      </c>
      <c r="C71">
        <v>3.58</v>
      </c>
      <c r="D71">
        <v>3.64</v>
      </c>
      <c r="E71">
        <v>21.5</v>
      </c>
      <c r="F71">
        <v>123</v>
      </c>
      <c r="G71">
        <v>4350</v>
      </c>
      <c r="H71">
        <v>22</v>
      </c>
      <c r="I71">
        <v>25</v>
      </c>
      <c r="J71">
        <v>1</v>
      </c>
      <c r="K71">
        <v>1</v>
      </c>
      <c r="L71">
        <v>0</v>
      </c>
      <c r="M71">
        <v>0</v>
      </c>
      <c r="N71">
        <v>0</v>
      </c>
      <c r="O71">
        <v>0</v>
      </c>
      <c r="P71">
        <v>28176</v>
      </c>
    </row>
    <row r="72" spans="1:16">
      <c r="A72">
        <v>3770</v>
      </c>
      <c r="B72">
        <v>183</v>
      </c>
      <c r="C72">
        <v>3.58</v>
      </c>
      <c r="D72">
        <v>3.64</v>
      </c>
      <c r="E72">
        <v>21.5</v>
      </c>
      <c r="F72">
        <v>123</v>
      </c>
      <c r="G72">
        <v>4350</v>
      </c>
      <c r="H72">
        <v>22</v>
      </c>
      <c r="I72">
        <v>25</v>
      </c>
      <c r="J72">
        <v>1</v>
      </c>
      <c r="K72">
        <v>1</v>
      </c>
      <c r="L72">
        <v>1</v>
      </c>
      <c r="M72">
        <v>0</v>
      </c>
      <c r="N72">
        <v>0</v>
      </c>
      <c r="O72">
        <v>0</v>
      </c>
      <c r="P72">
        <v>31600</v>
      </c>
    </row>
    <row r="73" spans="1:16">
      <c r="A73">
        <v>3740</v>
      </c>
      <c r="B73">
        <v>234</v>
      </c>
      <c r="C73">
        <v>3.46</v>
      </c>
      <c r="D73">
        <v>3.1</v>
      </c>
      <c r="E73">
        <v>8.3000000000000007</v>
      </c>
      <c r="F73">
        <v>155</v>
      </c>
      <c r="G73">
        <v>4750</v>
      </c>
      <c r="H73">
        <v>16</v>
      </c>
      <c r="I73">
        <v>18</v>
      </c>
      <c r="J73">
        <v>0</v>
      </c>
      <c r="K73">
        <v>0</v>
      </c>
      <c r="L73">
        <v>1</v>
      </c>
      <c r="M73">
        <v>0</v>
      </c>
      <c r="N73">
        <v>0</v>
      </c>
      <c r="O73">
        <v>0</v>
      </c>
      <c r="P73">
        <v>34184</v>
      </c>
    </row>
    <row r="74" spans="1:16">
      <c r="A74">
        <v>3685</v>
      </c>
      <c r="B74">
        <v>234</v>
      </c>
      <c r="C74">
        <v>3.46</v>
      </c>
      <c r="D74">
        <v>3.1</v>
      </c>
      <c r="E74">
        <v>8.3000000000000007</v>
      </c>
      <c r="F74">
        <v>155</v>
      </c>
      <c r="G74">
        <v>4750</v>
      </c>
      <c r="H74">
        <v>16</v>
      </c>
      <c r="I74">
        <v>18</v>
      </c>
      <c r="J74">
        <v>0</v>
      </c>
      <c r="K74">
        <v>0</v>
      </c>
      <c r="L74">
        <v>0</v>
      </c>
      <c r="M74">
        <v>0</v>
      </c>
      <c r="N74">
        <v>0</v>
      </c>
      <c r="O74">
        <v>0</v>
      </c>
      <c r="P74">
        <v>35056</v>
      </c>
    </row>
    <row r="75" spans="1:16">
      <c r="A75">
        <v>3900</v>
      </c>
      <c r="B75">
        <v>308</v>
      </c>
      <c r="C75">
        <v>3.8</v>
      </c>
      <c r="D75">
        <v>3.35</v>
      </c>
      <c r="E75">
        <v>8</v>
      </c>
      <c r="F75">
        <v>184</v>
      </c>
      <c r="G75">
        <v>4500</v>
      </c>
      <c r="H75">
        <v>14</v>
      </c>
      <c r="I75">
        <v>16</v>
      </c>
      <c r="J75">
        <v>0</v>
      </c>
      <c r="K75">
        <v>0</v>
      </c>
      <c r="L75">
        <v>1</v>
      </c>
      <c r="M75">
        <v>0</v>
      </c>
      <c r="N75">
        <v>0</v>
      </c>
      <c r="O75">
        <v>0</v>
      </c>
      <c r="P75">
        <v>40960</v>
      </c>
    </row>
    <row r="76" spans="1:16">
      <c r="A76">
        <v>3715</v>
      </c>
      <c r="B76">
        <v>304</v>
      </c>
      <c r="C76">
        <v>3.8</v>
      </c>
      <c r="D76">
        <v>3.35</v>
      </c>
      <c r="E76">
        <v>8</v>
      </c>
      <c r="F76">
        <v>184</v>
      </c>
      <c r="G76">
        <v>4500</v>
      </c>
      <c r="H76">
        <v>14</v>
      </c>
      <c r="I76">
        <v>16</v>
      </c>
      <c r="J76">
        <v>0</v>
      </c>
      <c r="K76">
        <v>0</v>
      </c>
      <c r="L76">
        <v>0</v>
      </c>
      <c r="M76">
        <v>0</v>
      </c>
      <c r="N76">
        <v>0</v>
      </c>
      <c r="O76">
        <v>0</v>
      </c>
      <c r="P76">
        <v>45400</v>
      </c>
    </row>
    <row r="77" spans="1:16">
      <c r="A77">
        <v>2910</v>
      </c>
      <c r="B77">
        <v>140</v>
      </c>
      <c r="C77">
        <v>3.78</v>
      </c>
      <c r="D77">
        <v>3.12</v>
      </c>
      <c r="E77">
        <v>8</v>
      </c>
      <c r="F77">
        <v>175</v>
      </c>
      <c r="G77">
        <v>5000</v>
      </c>
      <c r="H77">
        <v>19</v>
      </c>
      <c r="I77">
        <v>24</v>
      </c>
      <c r="J77">
        <v>0</v>
      </c>
      <c r="K77">
        <v>1</v>
      </c>
      <c r="L77">
        <v>0</v>
      </c>
      <c r="M77">
        <v>0</v>
      </c>
      <c r="N77">
        <v>0</v>
      </c>
      <c r="O77">
        <v>0</v>
      </c>
      <c r="P77">
        <v>16503</v>
      </c>
    </row>
    <row r="78" spans="1:16">
      <c r="A78">
        <v>1918</v>
      </c>
      <c r="B78">
        <v>92</v>
      </c>
      <c r="C78">
        <v>2.97</v>
      </c>
      <c r="D78">
        <v>3.23</v>
      </c>
      <c r="E78">
        <v>9.4</v>
      </c>
      <c r="F78">
        <v>68</v>
      </c>
      <c r="G78">
        <v>5500</v>
      </c>
      <c r="H78">
        <v>37</v>
      </c>
      <c r="I78">
        <v>41</v>
      </c>
      <c r="J78">
        <v>0</v>
      </c>
      <c r="K78">
        <v>0</v>
      </c>
      <c r="L78">
        <v>0</v>
      </c>
      <c r="M78">
        <v>0</v>
      </c>
      <c r="N78">
        <v>1</v>
      </c>
      <c r="O78">
        <v>0</v>
      </c>
      <c r="P78">
        <v>5389</v>
      </c>
    </row>
    <row r="79" spans="1:16">
      <c r="A79">
        <v>1944</v>
      </c>
      <c r="B79">
        <v>92</v>
      </c>
      <c r="C79">
        <v>2.97</v>
      </c>
      <c r="D79">
        <v>3.23</v>
      </c>
      <c r="E79">
        <v>9.4</v>
      </c>
      <c r="F79">
        <v>68</v>
      </c>
      <c r="G79">
        <v>5500</v>
      </c>
      <c r="H79">
        <v>31</v>
      </c>
      <c r="I79">
        <v>38</v>
      </c>
      <c r="J79">
        <v>0</v>
      </c>
      <c r="K79">
        <v>0</v>
      </c>
      <c r="L79">
        <v>0</v>
      </c>
      <c r="M79">
        <v>0</v>
      </c>
      <c r="N79">
        <v>1</v>
      </c>
      <c r="O79">
        <v>0</v>
      </c>
      <c r="P79">
        <v>6189</v>
      </c>
    </row>
    <row r="80" spans="1:16">
      <c r="A80">
        <v>2004</v>
      </c>
      <c r="B80">
        <v>92</v>
      </c>
      <c r="C80">
        <v>2.97</v>
      </c>
      <c r="D80">
        <v>3.23</v>
      </c>
      <c r="E80">
        <v>9.4</v>
      </c>
      <c r="F80">
        <v>68</v>
      </c>
      <c r="G80">
        <v>5500</v>
      </c>
      <c r="H80">
        <v>31</v>
      </c>
      <c r="I80">
        <v>38</v>
      </c>
      <c r="J80">
        <v>0</v>
      </c>
      <c r="K80">
        <v>0</v>
      </c>
      <c r="L80">
        <v>0</v>
      </c>
      <c r="M80">
        <v>0</v>
      </c>
      <c r="N80">
        <v>1</v>
      </c>
      <c r="O80">
        <v>0</v>
      </c>
      <c r="P80">
        <v>6669</v>
      </c>
    </row>
    <row r="81" spans="1:16">
      <c r="A81">
        <v>2145</v>
      </c>
      <c r="B81">
        <v>98</v>
      </c>
      <c r="C81">
        <v>3.03</v>
      </c>
      <c r="D81">
        <v>3.39</v>
      </c>
      <c r="E81">
        <v>7.6</v>
      </c>
      <c r="F81">
        <v>102</v>
      </c>
      <c r="G81">
        <v>5500</v>
      </c>
      <c r="H81">
        <v>24</v>
      </c>
      <c r="I81">
        <v>30</v>
      </c>
      <c r="J81">
        <v>0</v>
      </c>
      <c r="K81">
        <v>1</v>
      </c>
      <c r="L81">
        <v>0</v>
      </c>
      <c r="M81">
        <v>0</v>
      </c>
      <c r="N81">
        <v>1</v>
      </c>
      <c r="O81">
        <v>0</v>
      </c>
      <c r="P81">
        <v>7689</v>
      </c>
    </row>
    <row r="82" spans="1:16">
      <c r="A82">
        <v>2370</v>
      </c>
      <c r="B82">
        <v>110</v>
      </c>
      <c r="C82">
        <v>3.17</v>
      </c>
      <c r="D82">
        <v>3.46</v>
      </c>
      <c r="E82">
        <v>7.5</v>
      </c>
      <c r="F82">
        <v>116</v>
      </c>
      <c r="G82">
        <v>5500</v>
      </c>
      <c r="H82">
        <v>23</v>
      </c>
      <c r="I82">
        <v>30</v>
      </c>
      <c r="J82">
        <v>0</v>
      </c>
      <c r="K82">
        <v>1</v>
      </c>
      <c r="L82">
        <v>0</v>
      </c>
      <c r="M82">
        <v>0</v>
      </c>
      <c r="N82">
        <v>1</v>
      </c>
      <c r="O82">
        <v>0</v>
      </c>
      <c r="P82">
        <v>9959</v>
      </c>
    </row>
    <row r="83" spans="1:16">
      <c r="A83">
        <v>2328</v>
      </c>
      <c r="B83">
        <v>122</v>
      </c>
      <c r="C83">
        <v>3.35</v>
      </c>
      <c r="D83">
        <v>3.46</v>
      </c>
      <c r="E83">
        <v>8.5</v>
      </c>
      <c r="F83">
        <v>88</v>
      </c>
      <c r="G83">
        <v>5000</v>
      </c>
      <c r="H83">
        <v>25</v>
      </c>
      <c r="I83">
        <v>32</v>
      </c>
      <c r="J83">
        <v>0</v>
      </c>
      <c r="K83">
        <v>0</v>
      </c>
      <c r="L83">
        <v>0</v>
      </c>
      <c r="M83">
        <v>0</v>
      </c>
      <c r="N83">
        <v>1</v>
      </c>
      <c r="O83">
        <v>0</v>
      </c>
      <c r="P83">
        <v>8499</v>
      </c>
    </row>
    <row r="84" spans="1:16">
      <c r="A84">
        <v>2833</v>
      </c>
      <c r="B84">
        <v>156</v>
      </c>
      <c r="C84">
        <v>3.58</v>
      </c>
      <c r="D84">
        <v>3.86</v>
      </c>
      <c r="E84">
        <v>7</v>
      </c>
      <c r="F84">
        <v>145</v>
      </c>
      <c r="G84">
        <v>5000</v>
      </c>
      <c r="H84">
        <v>19</v>
      </c>
      <c r="I84">
        <v>24</v>
      </c>
      <c r="J84">
        <v>0</v>
      </c>
      <c r="K84">
        <v>1</v>
      </c>
      <c r="L84">
        <v>0</v>
      </c>
      <c r="M84">
        <v>0</v>
      </c>
      <c r="N84">
        <v>1</v>
      </c>
      <c r="O84">
        <v>0</v>
      </c>
      <c r="P84">
        <v>12629</v>
      </c>
    </row>
    <row r="85" spans="1:16">
      <c r="A85">
        <v>2921</v>
      </c>
      <c r="B85">
        <v>156</v>
      </c>
      <c r="C85">
        <v>3.59</v>
      </c>
      <c r="D85">
        <v>3.86</v>
      </c>
      <c r="E85">
        <v>7</v>
      </c>
      <c r="F85">
        <v>145</v>
      </c>
      <c r="G85">
        <v>5000</v>
      </c>
      <c r="H85">
        <v>19</v>
      </c>
      <c r="I85">
        <v>24</v>
      </c>
      <c r="J85">
        <v>0</v>
      </c>
      <c r="K85">
        <v>1</v>
      </c>
      <c r="L85">
        <v>0</v>
      </c>
      <c r="M85">
        <v>0</v>
      </c>
      <c r="N85">
        <v>1</v>
      </c>
      <c r="O85">
        <v>0</v>
      </c>
      <c r="P85">
        <v>14869</v>
      </c>
    </row>
    <row r="86" spans="1:16">
      <c r="A86">
        <v>2926</v>
      </c>
      <c r="B86">
        <v>156</v>
      </c>
      <c r="C86">
        <v>3.59</v>
      </c>
      <c r="D86">
        <v>3.86</v>
      </c>
      <c r="E86">
        <v>7</v>
      </c>
      <c r="F86">
        <v>145</v>
      </c>
      <c r="G86">
        <v>5000</v>
      </c>
      <c r="H86">
        <v>19</v>
      </c>
      <c r="I86">
        <v>24</v>
      </c>
      <c r="J86">
        <v>0</v>
      </c>
      <c r="K86">
        <v>1</v>
      </c>
      <c r="L86">
        <v>0</v>
      </c>
      <c r="M86">
        <v>0</v>
      </c>
      <c r="N86">
        <v>1</v>
      </c>
      <c r="O86">
        <v>0</v>
      </c>
      <c r="P86">
        <v>14489</v>
      </c>
    </row>
    <row r="87" spans="1:16">
      <c r="A87">
        <v>2365</v>
      </c>
      <c r="B87">
        <v>122</v>
      </c>
      <c r="C87">
        <v>3.35</v>
      </c>
      <c r="D87">
        <v>3.46</v>
      </c>
      <c r="E87">
        <v>8.5</v>
      </c>
      <c r="F87">
        <v>88</v>
      </c>
      <c r="G87">
        <v>5000</v>
      </c>
      <c r="H87">
        <v>25</v>
      </c>
      <c r="I87">
        <v>32</v>
      </c>
      <c r="J87">
        <v>0</v>
      </c>
      <c r="K87">
        <v>0</v>
      </c>
      <c r="L87">
        <v>1</v>
      </c>
      <c r="M87">
        <v>0</v>
      </c>
      <c r="N87">
        <v>1</v>
      </c>
      <c r="O87">
        <v>0</v>
      </c>
      <c r="P87">
        <v>6989</v>
      </c>
    </row>
    <row r="88" spans="1:16">
      <c r="A88">
        <v>2405</v>
      </c>
      <c r="B88">
        <v>122</v>
      </c>
      <c r="C88">
        <v>3.35</v>
      </c>
      <c r="D88">
        <v>3.46</v>
      </c>
      <c r="E88">
        <v>8.5</v>
      </c>
      <c r="F88">
        <v>88</v>
      </c>
      <c r="G88">
        <v>5000</v>
      </c>
      <c r="H88">
        <v>25</v>
      </c>
      <c r="I88">
        <v>32</v>
      </c>
      <c r="J88">
        <v>0</v>
      </c>
      <c r="K88">
        <v>0</v>
      </c>
      <c r="L88">
        <v>1</v>
      </c>
      <c r="M88">
        <v>0</v>
      </c>
      <c r="N88">
        <v>1</v>
      </c>
      <c r="O88">
        <v>0</v>
      </c>
      <c r="P88">
        <v>8189</v>
      </c>
    </row>
    <row r="89" spans="1:16">
      <c r="A89">
        <v>2403</v>
      </c>
      <c r="B89">
        <v>110</v>
      </c>
      <c r="C89">
        <v>3.17</v>
      </c>
      <c r="D89">
        <v>3.46</v>
      </c>
      <c r="E89">
        <v>7.5</v>
      </c>
      <c r="F89">
        <v>116</v>
      </c>
      <c r="G89">
        <v>5500</v>
      </c>
      <c r="H89">
        <v>23</v>
      </c>
      <c r="I89">
        <v>30</v>
      </c>
      <c r="J89">
        <v>0</v>
      </c>
      <c r="K89">
        <v>1</v>
      </c>
      <c r="L89">
        <v>1</v>
      </c>
      <c r="M89">
        <v>0</v>
      </c>
      <c r="N89">
        <v>1</v>
      </c>
      <c r="O89">
        <v>0</v>
      </c>
      <c r="P89">
        <v>9279</v>
      </c>
    </row>
    <row r="90" spans="1:16">
      <c r="A90">
        <v>2403</v>
      </c>
      <c r="B90">
        <v>110</v>
      </c>
      <c r="C90">
        <v>3.17</v>
      </c>
      <c r="D90">
        <v>3.46</v>
      </c>
      <c r="E90">
        <v>7.5</v>
      </c>
      <c r="F90">
        <v>116</v>
      </c>
      <c r="G90">
        <v>5500</v>
      </c>
      <c r="H90">
        <v>23</v>
      </c>
      <c r="I90">
        <v>30</v>
      </c>
      <c r="J90">
        <v>0</v>
      </c>
      <c r="K90">
        <v>0</v>
      </c>
      <c r="L90">
        <v>1</v>
      </c>
      <c r="M90">
        <v>0</v>
      </c>
      <c r="N90">
        <v>1</v>
      </c>
      <c r="O90">
        <v>0</v>
      </c>
      <c r="P90">
        <v>9279</v>
      </c>
    </row>
    <row r="91" spans="1:16">
      <c r="A91">
        <v>1889</v>
      </c>
      <c r="B91">
        <v>97</v>
      </c>
      <c r="C91">
        <v>3.15</v>
      </c>
      <c r="D91">
        <v>3.29</v>
      </c>
      <c r="E91">
        <v>9.4</v>
      </c>
      <c r="F91">
        <v>69</v>
      </c>
      <c r="G91">
        <v>5200</v>
      </c>
      <c r="H91">
        <v>31</v>
      </c>
      <c r="I91">
        <v>37</v>
      </c>
      <c r="J91">
        <v>0</v>
      </c>
      <c r="K91">
        <v>0</v>
      </c>
      <c r="L91">
        <v>0</v>
      </c>
      <c r="M91">
        <v>0</v>
      </c>
      <c r="N91">
        <v>1</v>
      </c>
      <c r="O91">
        <v>0</v>
      </c>
      <c r="P91">
        <v>5499</v>
      </c>
    </row>
    <row r="92" spans="1:16">
      <c r="A92">
        <v>2017</v>
      </c>
      <c r="B92">
        <v>103</v>
      </c>
      <c r="C92">
        <v>2.99</v>
      </c>
      <c r="D92">
        <v>3.47</v>
      </c>
      <c r="E92">
        <v>21.9</v>
      </c>
      <c r="F92">
        <v>55</v>
      </c>
      <c r="G92">
        <v>4800</v>
      </c>
      <c r="H92">
        <v>45</v>
      </c>
      <c r="I92">
        <v>50</v>
      </c>
      <c r="J92">
        <v>1</v>
      </c>
      <c r="K92">
        <v>0</v>
      </c>
      <c r="L92">
        <v>0</v>
      </c>
      <c r="M92">
        <v>0</v>
      </c>
      <c r="N92">
        <v>1</v>
      </c>
      <c r="O92">
        <v>0</v>
      </c>
      <c r="P92">
        <v>7099</v>
      </c>
    </row>
    <row r="93" spans="1:16">
      <c r="A93">
        <v>1918</v>
      </c>
      <c r="B93">
        <v>97</v>
      </c>
      <c r="C93">
        <v>3.15</v>
      </c>
      <c r="D93">
        <v>3.29</v>
      </c>
      <c r="E93">
        <v>9.4</v>
      </c>
      <c r="F93">
        <v>69</v>
      </c>
      <c r="G93">
        <v>5200</v>
      </c>
      <c r="H93">
        <v>31</v>
      </c>
      <c r="I93">
        <v>37</v>
      </c>
      <c r="J93">
        <v>0</v>
      </c>
      <c r="K93">
        <v>0</v>
      </c>
      <c r="L93">
        <v>0</v>
      </c>
      <c r="M93">
        <v>0</v>
      </c>
      <c r="N93">
        <v>1</v>
      </c>
      <c r="O93">
        <v>0</v>
      </c>
      <c r="P93">
        <v>6649</v>
      </c>
    </row>
    <row r="94" spans="1:16">
      <c r="A94">
        <v>1938</v>
      </c>
      <c r="B94">
        <v>97</v>
      </c>
      <c r="C94">
        <v>3.15</v>
      </c>
      <c r="D94">
        <v>3.29</v>
      </c>
      <c r="E94">
        <v>9.4</v>
      </c>
      <c r="F94">
        <v>69</v>
      </c>
      <c r="G94">
        <v>5200</v>
      </c>
      <c r="H94">
        <v>31</v>
      </c>
      <c r="I94">
        <v>37</v>
      </c>
      <c r="J94">
        <v>0</v>
      </c>
      <c r="K94">
        <v>0</v>
      </c>
      <c r="L94">
        <v>1</v>
      </c>
      <c r="M94">
        <v>0</v>
      </c>
      <c r="N94">
        <v>1</v>
      </c>
      <c r="O94">
        <v>0</v>
      </c>
      <c r="P94">
        <v>6849</v>
      </c>
    </row>
    <row r="95" spans="1:16">
      <c r="A95">
        <v>2024</v>
      </c>
      <c r="B95">
        <v>97</v>
      </c>
      <c r="C95">
        <v>3.15</v>
      </c>
      <c r="D95">
        <v>3.29</v>
      </c>
      <c r="E95">
        <v>9.4</v>
      </c>
      <c r="F95">
        <v>69</v>
      </c>
      <c r="G95">
        <v>5200</v>
      </c>
      <c r="H95">
        <v>31</v>
      </c>
      <c r="I95">
        <v>37</v>
      </c>
      <c r="J95">
        <v>0</v>
      </c>
      <c r="K95">
        <v>0</v>
      </c>
      <c r="L95">
        <v>1</v>
      </c>
      <c r="M95">
        <v>0</v>
      </c>
      <c r="N95">
        <v>1</v>
      </c>
      <c r="O95">
        <v>0</v>
      </c>
      <c r="P95">
        <v>7349</v>
      </c>
    </row>
    <row r="96" spans="1:16">
      <c r="A96">
        <v>1951</v>
      </c>
      <c r="B96">
        <v>97</v>
      </c>
      <c r="C96">
        <v>3.15</v>
      </c>
      <c r="D96">
        <v>3.29</v>
      </c>
      <c r="E96">
        <v>9.4</v>
      </c>
      <c r="F96">
        <v>69</v>
      </c>
      <c r="G96">
        <v>5200</v>
      </c>
      <c r="H96">
        <v>31</v>
      </c>
      <c r="I96">
        <v>37</v>
      </c>
      <c r="J96">
        <v>0</v>
      </c>
      <c r="K96">
        <v>0</v>
      </c>
      <c r="L96">
        <v>0</v>
      </c>
      <c r="M96">
        <v>0</v>
      </c>
      <c r="N96">
        <v>1</v>
      </c>
      <c r="O96">
        <v>0</v>
      </c>
      <c r="P96">
        <v>7299</v>
      </c>
    </row>
    <row r="97" spans="1:16">
      <c r="A97">
        <v>2028</v>
      </c>
      <c r="B97">
        <v>97</v>
      </c>
      <c r="C97">
        <v>3.15</v>
      </c>
      <c r="D97">
        <v>3.29</v>
      </c>
      <c r="E97">
        <v>9.4</v>
      </c>
      <c r="F97">
        <v>69</v>
      </c>
      <c r="G97">
        <v>5200</v>
      </c>
      <c r="H97">
        <v>31</v>
      </c>
      <c r="I97">
        <v>37</v>
      </c>
      <c r="J97">
        <v>0</v>
      </c>
      <c r="K97">
        <v>0</v>
      </c>
      <c r="L97">
        <v>0</v>
      </c>
      <c r="M97">
        <v>0</v>
      </c>
      <c r="N97">
        <v>1</v>
      </c>
      <c r="O97">
        <v>0</v>
      </c>
      <c r="P97">
        <v>7799</v>
      </c>
    </row>
    <row r="98" spans="1:16">
      <c r="A98">
        <v>1971</v>
      </c>
      <c r="B98">
        <v>97</v>
      </c>
      <c r="C98">
        <v>3.15</v>
      </c>
      <c r="D98">
        <v>3.29</v>
      </c>
      <c r="E98">
        <v>9.4</v>
      </c>
      <c r="F98">
        <v>69</v>
      </c>
      <c r="G98">
        <v>5200</v>
      </c>
      <c r="H98">
        <v>31</v>
      </c>
      <c r="I98">
        <v>37</v>
      </c>
      <c r="J98">
        <v>0</v>
      </c>
      <c r="K98">
        <v>0</v>
      </c>
      <c r="L98">
        <v>1</v>
      </c>
      <c r="M98">
        <v>0</v>
      </c>
      <c r="N98">
        <v>1</v>
      </c>
      <c r="O98">
        <v>0</v>
      </c>
      <c r="P98">
        <v>7499</v>
      </c>
    </row>
    <row r="99" spans="1:16">
      <c r="A99">
        <v>2037</v>
      </c>
      <c r="B99">
        <v>97</v>
      </c>
      <c r="C99">
        <v>3.15</v>
      </c>
      <c r="D99">
        <v>3.29</v>
      </c>
      <c r="E99">
        <v>9.4</v>
      </c>
      <c r="F99">
        <v>69</v>
      </c>
      <c r="G99">
        <v>5200</v>
      </c>
      <c r="H99">
        <v>31</v>
      </c>
      <c r="I99">
        <v>37</v>
      </c>
      <c r="J99">
        <v>0</v>
      </c>
      <c r="K99">
        <v>0</v>
      </c>
      <c r="L99">
        <v>1</v>
      </c>
      <c r="M99">
        <v>0</v>
      </c>
      <c r="N99">
        <v>1</v>
      </c>
      <c r="O99">
        <v>0</v>
      </c>
      <c r="P99">
        <v>7999</v>
      </c>
    </row>
    <row r="100" spans="1:16">
      <c r="A100">
        <v>2008</v>
      </c>
      <c r="B100">
        <v>97</v>
      </c>
      <c r="C100">
        <v>3.15</v>
      </c>
      <c r="D100">
        <v>3.29</v>
      </c>
      <c r="E100">
        <v>9.4</v>
      </c>
      <c r="F100">
        <v>69</v>
      </c>
      <c r="G100">
        <v>5200</v>
      </c>
      <c r="H100">
        <v>31</v>
      </c>
      <c r="I100">
        <v>37</v>
      </c>
      <c r="J100">
        <v>0</v>
      </c>
      <c r="K100">
        <v>0</v>
      </c>
      <c r="L100">
        <v>0</v>
      </c>
      <c r="M100">
        <v>0</v>
      </c>
      <c r="N100">
        <v>1</v>
      </c>
      <c r="O100">
        <v>0</v>
      </c>
      <c r="P100">
        <v>8249</v>
      </c>
    </row>
    <row r="101" spans="1:16">
      <c r="A101">
        <v>2324</v>
      </c>
      <c r="B101">
        <v>120</v>
      </c>
      <c r="C101">
        <v>3.33</v>
      </c>
      <c r="D101">
        <v>3.47</v>
      </c>
      <c r="E101">
        <v>8.5</v>
      </c>
      <c r="F101">
        <v>97</v>
      </c>
      <c r="G101">
        <v>5200</v>
      </c>
      <c r="H101">
        <v>27</v>
      </c>
      <c r="I101">
        <v>34</v>
      </c>
      <c r="J101">
        <v>0</v>
      </c>
      <c r="K101">
        <v>0</v>
      </c>
      <c r="L101">
        <v>1</v>
      </c>
      <c r="M101">
        <v>0</v>
      </c>
      <c r="N101">
        <v>1</v>
      </c>
      <c r="O101">
        <v>0</v>
      </c>
      <c r="P101">
        <v>8949</v>
      </c>
    </row>
    <row r="102" spans="1:16">
      <c r="A102">
        <v>2302</v>
      </c>
      <c r="B102">
        <v>120</v>
      </c>
      <c r="C102">
        <v>3.33</v>
      </c>
      <c r="D102">
        <v>3.47</v>
      </c>
      <c r="E102">
        <v>8.5</v>
      </c>
      <c r="F102">
        <v>97</v>
      </c>
      <c r="G102">
        <v>5200</v>
      </c>
      <c r="H102">
        <v>27</v>
      </c>
      <c r="I102">
        <v>34</v>
      </c>
      <c r="J102">
        <v>0</v>
      </c>
      <c r="K102">
        <v>0</v>
      </c>
      <c r="L102">
        <v>1</v>
      </c>
      <c r="M102">
        <v>0</v>
      </c>
      <c r="N102">
        <v>1</v>
      </c>
      <c r="O102">
        <v>0</v>
      </c>
      <c r="P102">
        <v>9549</v>
      </c>
    </row>
    <row r="103" spans="1:16">
      <c r="A103">
        <v>3095</v>
      </c>
      <c r="B103">
        <v>181</v>
      </c>
      <c r="C103">
        <v>3.43</v>
      </c>
      <c r="D103">
        <v>3.27</v>
      </c>
      <c r="E103">
        <v>9</v>
      </c>
      <c r="F103">
        <v>152</v>
      </c>
      <c r="G103">
        <v>5200</v>
      </c>
      <c r="H103">
        <v>17</v>
      </c>
      <c r="I103">
        <v>22</v>
      </c>
      <c r="J103">
        <v>0</v>
      </c>
      <c r="K103">
        <v>0</v>
      </c>
      <c r="L103">
        <v>1</v>
      </c>
      <c r="M103">
        <v>0</v>
      </c>
      <c r="N103">
        <v>1</v>
      </c>
      <c r="O103">
        <v>0</v>
      </c>
      <c r="P103">
        <v>13499</v>
      </c>
    </row>
    <row r="104" spans="1:16">
      <c r="A104">
        <v>3296</v>
      </c>
      <c r="B104">
        <v>181</v>
      </c>
      <c r="C104">
        <v>3.43</v>
      </c>
      <c r="D104">
        <v>3.27</v>
      </c>
      <c r="E104">
        <v>9</v>
      </c>
      <c r="F104">
        <v>152</v>
      </c>
      <c r="G104">
        <v>5200</v>
      </c>
      <c r="H104">
        <v>17</v>
      </c>
      <c r="I104">
        <v>22</v>
      </c>
      <c r="J104">
        <v>0</v>
      </c>
      <c r="K104">
        <v>0</v>
      </c>
      <c r="L104">
        <v>1</v>
      </c>
      <c r="M104">
        <v>0</v>
      </c>
      <c r="N104">
        <v>1</v>
      </c>
      <c r="O104">
        <v>0</v>
      </c>
      <c r="P104">
        <v>14399</v>
      </c>
    </row>
    <row r="105" spans="1:16">
      <c r="A105">
        <v>3060</v>
      </c>
      <c r="B105">
        <v>181</v>
      </c>
      <c r="C105">
        <v>3.43</v>
      </c>
      <c r="D105">
        <v>3.27</v>
      </c>
      <c r="E105">
        <v>9</v>
      </c>
      <c r="F105">
        <v>152</v>
      </c>
      <c r="G105">
        <v>5200</v>
      </c>
      <c r="H105">
        <v>19</v>
      </c>
      <c r="I105">
        <v>25</v>
      </c>
      <c r="J105">
        <v>0</v>
      </c>
      <c r="K105">
        <v>0</v>
      </c>
      <c r="L105">
        <v>1</v>
      </c>
      <c r="M105">
        <v>0</v>
      </c>
      <c r="N105">
        <v>1</v>
      </c>
      <c r="O105">
        <v>0</v>
      </c>
      <c r="P105">
        <v>13499</v>
      </c>
    </row>
    <row r="106" spans="1:16">
      <c r="A106">
        <v>3071</v>
      </c>
      <c r="B106">
        <v>181</v>
      </c>
      <c r="C106">
        <v>3.43</v>
      </c>
      <c r="D106">
        <v>3.27</v>
      </c>
      <c r="E106">
        <v>9</v>
      </c>
      <c r="F106">
        <v>160</v>
      </c>
      <c r="G106">
        <v>5200</v>
      </c>
      <c r="H106">
        <v>19</v>
      </c>
      <c r="I106">
        <v>25</v>
      </c>
      <c r="J106">
        <v>0</v>
      </c>
      <c r="K106">
        <v>0</v>
      </c>
      <c r="L106">
        <v>0</v>
      </c>
      <c r="M106">
        <v>0</v>
      </c>
      <c r="N106">
        <v>0</v>
      </c>
      <c r="O106">
        <v>0</v>
      </c>
      <c r="P106">
        <v>17199</v>
      </c>
    </row>
    <row r="107" spans="1:16">
      <c r="A107">
        <v>3139</v>
      </c>
      <c r="B107">
        <v>181</v>
      </c>
      <c r="C107">
        <v>3.43</v>
      </c>
      <c r="D107">
        <v>3.27</v>
      </c>
      <c r="E107">
        <v>7.8</v>
      </c>
      <c r="F107">
        <v>200</v>
      </c>
      <c r="G107">
        <v>5200</v>
      </c>
      <c r="H107">
        <v>17</v>
      </c>
      <c r="I107">
        <v>23</v>
      </c>
      <c r="J107">
        <v>0</v>
      </c>
      <c r="K107">
        <v>1</v>
      </c>
      <c r="L107">
        <v>0</v>
      </c>
      <c r="M107">
        <v>0</v>
      </c>
      <c r="N107">
        <v>0</v>
      </c>
      <c r="O107">
        <v>0</v>
      </c>
      <c r="P107">
        <v>19699</v>
      </c>
    </row>
    <row r="108" spans="1:16">
      <c r="A108">
        <v>3139</v>
      </c>
      <c r="B108">
        <v>181</v>
      </c>
      <c r="C108">
        <v>3.43</v>
      </c>
      <c r="D108">
        <v>3.27</v>
      </c>
      <c r="E108">
        <v>9</v>
      </c>
      <c r="F108">
        <v>160</v>
      </c>
      <c r="G108">
        <v>5200</v>
      </c>
      <c r="H108">
        <v>19</v>
      </c>
      <c r="I108">
        <v>25</v>
      </c>
      <c r="J108">
        <v>0</v>
      </c>
      <c r="K108">
        <v>0</v>
      </c>
      <c r="L108">
        <v>0</v>
      </c>
      <c r="M108">
        <v>0</v>
      </c>
      <c r="N108">
        <v>0</v>
      </c>
      <c r="O108">
        <v>0</v>
      </c>
      <c r="P108">
        <v>18399</v>
      </c>
    </row>
    <row r="109" spans="1:16">
      <c r="A109">
        <v>3020</v>
      </c>
      <c r="B109">
        <v>120</v>
      </c>
      <c r="C109">
        <v>3.46</v>
      </c>
      <c r="D109">
        <v>3.19</v>
      </c>
      <c r="E109">
        <v>8.4</v>
      </c>
      <c r="F109">
        <v>97</v>
      </c>
      <c r="G109">
        <v>5000</v>
      </c>
      <c r="H109">
        <v>19</v>
      </c>
      <c r="I109">
        <v>24</v>
      </c>
      <c r="J109">
        <v>0</v>
      </c>
      <c r="K109">
        <v>0</v>
      </c>
      <c r="L109">
        <v>1</v>
      </c>
      <c r="M109">
        <v>0</v>
      </c>
      <c r="N109">
        <v>0</v>
      </c>
      <c r="O109">
        <v>0</v>
      </c>
      <c r="P109">
        <v>11900</v>
      </c>
    </row>
    <row r="110" spans="1:16">
      <c r="A110">
        <v>3197</v>
      </c>
      <c r="B110">
        <v>152</v>
      </c>
      <c r="C110">
        <v>3.7</v>
      </c>
      <c r="D110">
        <v>3.52</v>
      </c>
      <c r="E110">
        <v>21</v>
      </c>
      <c r="F110">
        <v>95</v>
      </c>
      <c r="G110">
        <v>4150</v>
      </c>
      <c r="H110">
        <v>28</v>
      </c>
      <c r="I110">
        <v>33</v>
      </c>
      <c r="J110">
        <v>1</v>
      </c>
      <c r="K110">
        <v>1</v>
      </c>
      <c r="L110">
        <v>1</v>
      </c>
      <c r="M110">
        <v>0</v>
      </c>
      <c r="N110">
        <v>0</v>
      </c>
      <c r="O110">
        <v>0</v>
      </c>
      <c r="P110">
        <v>13200</v>
      </c>
    </row>
    <row r="111" spans="1:16">
      <c r="A111">
        <v>3230</v>
      </c>
      <c r="B111">
        <v>120</v>
      </c>
      <c r="C111">
        <v>3.46</v>
      </c>
      <c r="D111">
        <v>3.19</v>
      </c>
      <c r="E111">
        <v>8.4</v>
      </c>
      <c r="F111">
        <v>97</v>
      </c>
      <c r="G111">
        <v>5000</v>
      </c>
      <c r="H111">
        <v>19</v>
      </c>
      <c r="I111">
        <v>24</v>
      </c>
      <c r="J111">
        <v>0</v>
      </c>
      <c r="K111">
        <v>0</v>
      </c>
      <c r="L111">
        <v>1</v>
      </c>
      <c r="M111">
        <v>0</v>
      </c>
      <c r="N111">
        <v>0</v>
      </c>
      <c r="O111">
        <v>0</v>
      </c>
      <c r="P111">
        <v>12440</v>
      </c>
    </row>
    <row r="112" spans="1:16">
      <c r="A112">
        <v>3430</v>
      </c>
      <c r="B112">
        <v>152</v>
      </c>
      <c r="C112">
        <v>3.7</v>
      </c>
      <c r="D112">
        <v>3.52</v>
      </c>
      <c r="E112">
        <v>21</v>
      </c>
      <c r="F112">
        <v>95</v>
      </c>
      <c r="G112">
        <v>4150</v>
      </c>
      <c r="H112">
        <v>25</v>
      </c>
      <c r="I112">
        <v>25</v>
      </c>
      <c r="J112">
        <v>1</v>
      </c>
      <c r="K112">
        <v>1</v>
      </c>
      <c r="L112">
        <v>1</v>
      </c>
      <c r="M112">
        <v>0</v>
      </c>
      <c r="N112">
        <v>0</v>
      </c>
      <c r="O112">
        <v>0</v>
      </c>
      <c r="P112">
        <v>13860</v>
      </c>
    </row>
    <row r="113" spans="1:16">
      <c r="A113">
        <v>3075</v>
      </c>
      <c r="B113">
        <v>120</v>
      </c>
      <c r="C113">
        <v>3.46</v>
      </c>
      <c r="D113">
        <v>2.19</v>
      </c>
      <c r="E113">
        <v>8.4</v>
      </c>
      <c r="F113">
        <v>95</v>
      </c>
      <c r="G113">
        <v>5000</v>
      </c>
      <c r="H113">
        <v>19</v>
      </c>
      <c r="I113">
        <v>24</v>
      </c>
      <c r="J113">
        <v>0</v>
      </c>
      <c r="K113">
        <v>0</v>
      </c>
      <c r="L113">
        <v>1</v>
      </c>
      <c r="M113">
        <v>0</v>
      </c>
      <c r="N113">
        <v>0</v>
      </c>
      <c r="O113">
        <v>0</v>
      </c>
      <c r="P113">
        <v>15580</v>
      </c>
    </row>
    <row r="114" spans="1:16">
      <c r="A114">
        <v>3252</v>
      </c>
      <c r="B114">
        <v>152</v>
      </c>
      <c r="C114">
        <v>3.7</v>
      </c>
      <c r="D114">
        <v>3.52</v>
      </c>
      <c r="E114">
        <v>21</v>
      </c>
      <c r="F114">
        <v>95</v>
      </c>
      <c r="G114">
        <v>4150</v>
      </c>
      <c r="H114">
        <v>28</v>
      </c>
      <c r="I114">
        <v>33</v>
      </c>
      <c r="J114">
        <v>1</v>
      </c>
      <c r="K114">
        <v>1</v>
      </c>
      <c r="L114">
        <v>1</v>
      </c>
      <c r="M114">
        <v>0</v>
      </c>
      <c r="N114">
        <v>0</v>
      </c>
      <c r="O114">
        <v>0</v>
      </c>
      <c r="P114">
        <v>16900</v>
      </c>
    </row>
    <row r="115" spans="1:16">
      <c r="A115">
        <v>3285</v>
      </c>
      <c r="B115">
        <v>120</v>
      </c>
      <c r="C115">
        <v>3.46</v>
      </c>
      <c r="D115">
        <v>2.19</v>
      </c>
      <c r="E115">
        <v>8.4</v>
      </c>
      <c r="F115">
        <v>95</v>
      </c>
      <c r="G115">
        <v>5000</v>
      </c>
      <c r="H115">
        <v>19</v>
      </c>
      <c r="I115">
        <v>24</v>
      </c>
      <c r="J115">
        <v>0</v>
      </c>
      <c r="K115">
        <v>0</v>
      </c>
      <c r="L115">
        <v>1</v>
      </c>
      <c r="M115">
        <v>0</v>
      </c>
      <c r="N115">
        <v>0</v>
      </c>
      <c r="O115">
        <v>0</v>
      </c>
      <c r="P115">
        <v>16695</v>
      </c>
    </row>
    <row r="116" spans="1:16">
      <c r="A116">
        <v>3485</v>
      </c>
      <c r="B116">
        <v>152</v>
      </c>
      <c r="C116">
        <v>3.7</v>
      </c>
      <c r="D116">
        <v>3.52</v>
      </c>
      <c r="E116">
        <v>21</v>
      </c>
      <c r="F116">
        <v>95</v>
      </c>
      <c r="G116">
        <v>4150</v>
      </c>
      <c r="H116">
        <v>25</v>
      </c>
      <c r="I116">
        <v>25</v>
      </c>
      <c r="J116">
        <v>1</v>
      </c>
      <c r="K116">
        <v>1</v>
      </c>
      <c r="L116">
        <v>1</v>
      </c>
      <c r="M116">
        <v>0</v>
      </c>
      <c r="N116">
        <v>0</v>
      </c>
      <c r="O116">
        <v>0</v>
      </c>
      <c r="P116">
        <v>17075</v>
      </c>
    </row>
    <row r="117" spans="1:16">
      <c r="A117">
        <v>3075</v>
      </c>
      <c r="B117">
        <v>120</v>
      </c>
      <c r="C117">
        <v>3.46</v>
      </c>
      <c r="D117">
        <v>3.19</v>
      </c>
      <c r="E117">
        <v>8.4</v>
      </c>
      <c r="F117">
        <v>97</v>
      </c>
      <c r="G117">
        <v>5000</v>
      </c>
      <c r="H117">
        <v>19</v>
      </c>
      <c r="I117">
        <v>24</v>
      </c>
      <c r="J117">
        <v>0</v>
      </c>
      <c r="K117">
        <v>0</v>
      </c>
      <c r="L117">
        <v>1</v>
      </c>
      <c r="M117">
        <v>0</v>
      </c>
      <c r="N117">
        <v>0</v>
      </c>
      <c r="O117">
        <v>0</v>
      </c>
      <c r="P117">
        <v>16630</v>
      </c>
    </row>
    <row r="118" spans="1:16">
      <c r="A118">
        <v>3252</v>
      </c>
      <c r="B118">
        <v>152</v>
      </c>
      <c r="C118">
        <v>3.7</v>
      </c>
      <c r="D118">
        <v>3.52</v>
      </c>
      <c r="E118">
        <v>21</v>
      </c>
      <c r="F118">
        <v>95</v>
      </c>
      <c r="G118">
        <v>4150</v>
      </c>
      <c r="H118">
        <v>28</v>
      </c>
      <c r="I118">
        <v>33</v>
      </c>
      <c r="J118">
        <v>1</v>
      </c>
      <c r="K118">
        <v>1</v>
      </c>
      <c r="L118">
        <v>1</v>
      </c>
      <c r="M118">
        <v>0</v>
      </c>
      <c r="N118">
        <v>0</v>
      </c>
      <c r="O118">
        <v>0</v>
      </c>
      <c r="P118">
        <v>17950</v>
      </c>
    </row>
    <row r="119" spans="1:16">
      <c r="A119">
        <v>3130</v>
      </c>
      <c r="B119">
        <v>134</v>
      </c>
      <c r="C119">
        <v>3.61</v>
      </c>
      <c r="D119">
        <v>3.21</v>
      </c>
      <c r="E119">
        <v>7</v>
      </c>
      <c r="F119">
        <v>142</v>
      </c>
      <c r="G119">
        <v>5600</v>
      </c>
      <c r="H119">
        <v>18</v>
      </c>
      <c r="I119">
        <v>24</v>
      </c>
      <c r="J119">
        <v>0</v>
      </c>
      <c r="K119">
        <v>1</v>
      </c>
      <c r="L119">
        <v>1</v>
      </c>
      <c r="M119">
        <v>0</v>
      </c>
      <c r="N119">
        <v>0</v>
      </c>
      <c r="O119">
        <v>0</v>
      </c>
      <c r="P119">
        <v>18150</v>
      </c>
    </row>
    <row r="120" spans="1:16">
      <c r="A120">
        <v>1918</v>
      </c>
      <c r="B120">
        <v>90</v>
      </c>
      <c r="C120">
        <v>2.97</v>
      </c>
      <c r="D120">
        <v>3.23</v>
      </c>
      <c r="E120">
        <v>9.4</v>
      </c>
      <c r="F120">
        <v>68</v>
      </c>
      <c r="G120">
        <v>5500</v>
      </c>
      <c r="H120">
        <v>37</v>
      </c>
      <c r="I120">
        <v>41</v>
      </c>
      <c r="J120">
        <v>0</v>
      </c>
      <c r="K120">
        <v>0</v>
      </c>
      <c r="L120">
        <v>0</v>
      </c>
      <c r="M120">
        <v>0</v>
      </c>
      <c r="N120">
        <v>1</v>
      </c>
      <c r="O120">
        <v>0</v>
      </c>
      <c r="P120">
        <v>5572</v>
      </c>
    </row>
    <row r="121" spans="1:16">
      <c r="A121">
        <v>2128</v>
      </c>
      <c r="B121">
        <v>98</v>
      </c>
      <c r="C121">
        <v>3.03</v>
      </c>
      <c r="D121">
        <v>3.39</v>
      </c>
      <c r="E121">
        <v>7.6</v>
      </c>
      <c r="F121">
        <v>102</v>
      </c>
      <c r="G121">
        <v>5500</v>
      </c>
      <c r="H121">
        <v>24</v>
      </c>
      <c r="I121">
        <v>30</v>
      </c>
      <c r="J121">
        <v>0</v>
      </c>
      <c r="K121">
        <v>1</v>
      </c>
      <c r="L121">
        <v>0</v>
      </c>
      <c r="M121">
        <v>0</v>
      </c>
      <c r="N121">
        <v>1</v>
      </c>
      <c r="O121">
        <v>0</v>
      </c>
      <c r="P121">
        <v>7957</v>
      </c>
    </row>
    <row r="122" spans="1:16">
      <c r="A122">
        <v>1967</v>
      </c>
      <c r="B122">
        <v>90</v>
      </c>
      <c r="C122">
        <v>2.97</v>
      </c>
      <c r="D122">
        <v>3.23</v>
      </c>
      <c r="E122">
        <v>9.4</v>
      </c>
      <c r="F122">
        <v>68</v>
      </c>
      <c r="G122">
        <v>5500</v>
      </c>
      <c r="H122">
        <v>31</v>
      </c>
      <c r="I122">
        <v>38</v>
      </c>
      <c r="J122">
        <v>0</v>
      </c>
      <c r="K122">
        <v>0</v>
      </c>
      <c r="L122">
        <v>1</v>
      </c>
      <c r="M122">
        <v>0</v>
      </c>
      <c r="N122">
        <v>1</v>
      </c>
      <c r="O122">
        <v>0</v>
      </c>
      <c r="P122">
        <v>6229</v>
      </c>
    </row>
    <row r="123" spans="1:16">
      <c r="A123">
        <v>1989</v>
      </c>
      <c r="B123">
        <v>90</v>
      </c>
      <c r="C123">
        <v>2.97</v>
      </c>
      <c r="D123">
        <v>3.23</v>
      </c>
      <c r="E123">
        <v>9.4</v>
      </c>
      <c r="F123">
        <v>68</v>
      </c>
      <c r="G123">
        <v>5500</v>
      </c>
      <c r="H123">
        <v>31</v>
      </c>
      <c r="I123">
        <v>38</v>
      </c>
      <c r="J123">
        <v>0</v>
      </c>
      <c r="K123">
        <v>0</v>
      </c>
      <c r="L123">
        <v>1</v>
      </c>
      <c r="M123">
        <v>0</v>
      </c>
      <c r="N123">
        <v>1</v>
      </c>
      <c r="O123">
        <v>0</v>
      </c>
      <c r="P123">
        <v>6692</v>
      </c>
    </row>
    <row r="124" spans="1:16">
      <c r="A124">
        <v>2191</v>
      </c>
      <c r="B124">
        <v>98</v>
      </c>
      <c r="C124">
        <v>2.97</v>
      </c>
      <c r="D124">
        <v>3.23</v>
      </c>
      <c r="E124">
        <v>9.4</v>
      </c>
      <c r="F124">
        <v>68</v>
      </c>
      <c r="G124">
        <v>5500</v>
      </c>
      <c r="H124">
        <v>31</v>
      </c>
      <c r="I124">
        <v>38</v>
      </c>
      <c r="J124">
        <v>0</v>
      </c>
      <c r="K124">
        <v>0</v>
      </c>
      <c r="L124">
        <v>1</v>
      </c>
      <c r="M124">
        <v>0</v>
      </c>
      <c r="N124">
        <v>1</v>
      </c>
      <c r="O124">
        <v>0</v>
      </c>
      <c r="P124">
        <v>7609</v>
      </c>
    </row>
    <row r="125" spans="1:16">
      <c r="A125">
        <v>2535</v>
      </c>
      <c r="B125">
        <v>122</v>
      </c>
      <c r="C125">
        <v>3.35</v>
      </c>
      <c r="D125">
        <v>3.46</v>
      </c>
      <c r="E125">
        <v>8.5</v>
      </c>
      <c r="F125">
        <v>88</v>
      </c>
      <c r="G125">
        <v>5000</v>
      </c>
      <c r="H125">
        <v>24</v>
      </c>
      <c r="I125">
        <v>30</v>
      </c>
      <c r="J125">
        <v>0</v>
      </c>
      <c r="K125">
        <v>0</v>
      </c>
      <c r="L125">
        <v>1</v>
      </c>
      <c r="M125">
        <v>0</v>
      </c>
      <c r="N125">
        <v>1</v>
      </c>
      <c r="O125">
        <v>0</v>
      </c>
      <c r="P125">
        <v>8921</v>
      </c>
    </row>
    <row r="126" spans="1:16">
      <c r="A126">
        <v>2818</v>
      </c>
      <c r="B126">
        <v>156</v>
      </c>
      <c r="C126">
        <v>3.59</v>
      </c>
      <c r="D126">
        <v>3.86</v>
      </c>
      <c r="E126">
        <v>7</v>
      </c>
      <c r="F126">
        <v>145</v>
      </c>
      <c r="G126">
        <v>5000</v>
      </c>
      <c r="H126">
        <v>19</v>
      </c>
      <c r="I126">
        <v>24</v>
      </c>
      <c r="J126">
        <v>0</v>
      </c>
      <c r="K126">
        <v>1</v>
      </c>
      <c r="L126">
        <v>0</v>
      </c>
      <c r="M126">
        <v>0</v>
      </c>
      <c r="N126">
        <v>0</v>
      </c>
      <c r="O126">
        <v>0</v>
      </c>
      <c r="P126">
        <v>12764</v>
      </c>
    </row>
    <row r="127" spans="1:16">
      <c r="A127">
        <v>2778</v>
      </c>
      <c r="B127">
        <v>151</v>
      </c>
      <c r="C127">
        <v>3.94</v>
      </c>
      <c r="D127">
        <v>3.11</v>
      </c>
      <c r="E127">
        <v>9.5</v>
      </c>
      <c r="F127">
        <v>143</v>
      </c>
      <c r="G127">
        <v>5500</v>
      </c>
      <c r="H127">
        <v>19</v>
      </c>
      <c r="I127">
        <v>27</v>
      </c>
      <c r="J127">
        <v>0</v>
      </c>
      <c r="K127">
        <v>0</v>
      </c>
      <c r="L127">
        <v>0</v>
      </c>
      <c r="M127">
        <v>0</v>
      </c>
      <c r="N127">
        <v>0</v>
      </c>
      <c r="O127">
        <v>0</v>
      </c>
      <c r="P127">
        <v>22018</v>
      </c>
    </row>
    <row r="128" spans="1:16">
      <c r="A128">
        <v>2756</v>
      </c>
      <c r="B128">
        <v>194</v>
      </c>
      <c r="C128">
        <v>3.74</v>
      </c>
      <c r="D128">
        <v>2.9</v>
      </c>
      <c r="E128">
        <v>9.5</v>
      </c>
      <c r="F128">
        <v>207</v>
      </c>
      <c r="G128">
        <v>5900</v>
      </c>
      <c r="H128">
        <v>17</v>
      </c>
      <c r="I128">
        <v>25</v>
      </c>
      <c r="J128">
        <v>0</v>
      </c>
      <c r="K128">
        <v>0</v>
      </c>
      <c r="L128">
        <v>0</v>
      </c>
      <c r="M128">
        <v>0</v>
      </c>
      <c r="N128">
        <v>0</v>
      </c>
      <c r="O128">
        <v>1</v>
      </c>
      <c r="P128">
        <v>32528</v>
      </c>
    </row>
    <row r="129" spans="1:16">
      <c r="A129">
        <v>2756</v>
      </c>
      <c r="B129">
        <v>194</v>
      </c>
      <c r="C129">
        <v>3.74</v>
      </c>
      <c r="D129">
        <v>2.9</v>
      </c>
      <c r="E129">
        <v>9.5</v>
      </c>
      <c r="F129">
        <v>207</v>
      </c>
      <c r="G129">
        <v>5900</v>
      </c>
      <c r="H129">
        <v>17</v>
      </c>
      <c r="I129">
        <v>25</v>
      </c>
      <c r="J129">
        <v>0</v>
      </c>
      <c r="K129">
        <v>0</v>
      </c>
      <c r="L129">
        <v>0</v>
      </c>
      <c r="M129">
        <v>0</v>
      </c>
      <c r="N129">
        <v>0</v>
      </c>
      <c r="O129">
        <v>1</v>
      </c>
      <c r="P129">
        <v>34028</v>
      </c>
    </row>
    <row r="130" spans="1:16">
      <c r="A130">
        <v>2800</v>
      </c>
      <c r="B130">
        <v>194</v>
      </c>
      <c r="C130">
        <v>3.74</v>
      </c>
      <c r="D130">
        <v>2.9</v>
      </c>
      <c r="E130">
        <v>9.5</v>
      </c>
      <c r="F130">
        <v>207</v>
      </c>
      <c r="G130">
        <v>5900</v>
      </c>
      <c r="H130">
        <v>17</v>
      </c>
      <c r="I130">
        <v>25</v>
      </c>
      <c r="J130">
        <v>0</v>
      </c>
      <c r="K130">
        <v>0</v>
      </c>
      <c r="L130">
        <v>0</v>
      </c>
      <c r="M130">
        <v>0</v>
      </c>
      <c r="N130">
        <v>0</v>
      </c>
      <c r="O130">
        <v>1</v>
      </c>
      <c r="P130">
        <v>37028</v>
      </c>
    </row>
    <row r="131" spans="1:16">
      <c r="A131">
        <v>3366</v>
      </c>
      <c r="B131">
        <v>203</v>
      </c>
      <c r="C131">
        <v>3.94</v>
      </c>
      <c r="D131">
        <v>3.11</v>
      </c>
      <c r="E131">
        <v>10</v>
      </c>
      <c r="F131">
        <v>288</v>
      </c>
      <c r="G131">
        <v>5750</v>
      </c>
      <c r="H131">
        <v>17</v>
      </c>
      <c r="I131">
        <v>28</v>
      </c>
      <c r="J131">
        <v>0</v>
      </c>
      <c r="K131">
        <v>0</v>
      </c>
      <c r="L131">
        <v>0</v>
      </c>
      <c r="M131">
        <v>0</v>
      </c>
      <c r="N131">
        <v>0</v>
      </c>
      <c r="O131">
        <v>0</v>
      </c>
      <c r="P131">
        <v>31400.5</v>
      </c>
    </row>
    <row r="132" spans="1:16">
      <c r="A132">
        <v>2579</v>
      </c>
      <c r="B132">
        <v>132</v>
      </c>
      <c r="C132">
        <v>3.46</v>
      </c>
      <c r="D132">
        <v>3.9</v>
      </c>
      <c r="E132">
        <v>8.6999999999999993</v>
      </c>
      <c r="F132">
        <v>90</v>
      </c>
      <c r="G132">
        <v>5100</v>
      </c>
      <c r="H132">
        <v>23</v>
      </c>
      <c r="I132">
        <v>31</v>
      </c>
      <c r="J132">
        <v>0</v>
      </c>
      <c r="K132">
        <v>0</v>
      </c>
      <c r="L132">
        <v>1</v>
      </c>
      <c r="M132">
        <v>0</v>
      </c>
      <c r="N132">
        <v>1</v>
      </c>
      <c r="O132">
        <v>0</v>
      </c>
      <c r="P132">
        <v>9295</v>
      </c>
    </row>
    <row r="133" spans="1:16">
      <c r="A133">
        <v>2460</v>
      </c>
      <c r="B133">
        <v>132</v>
      </c>
      <c r="C133">
        <v>3.46</v>
      </c>
      <c r="D133">
        <v>3.9</v>
      </c>
      <c r="E133">
        <v>8.6999999999999993</v>
      </c>
      <c r="F133">
        <v>90</v>
      </c>
      <c r="G133">
        <v>5100</v>
      </c>
      <c r="H133">
        <v>23</v>
      </c>
      <c r="I133">
        <v>31</v>
      </c>
      <c r="J133">
        <v>0</v>
      </c>
      <c r="K133">
        <v>0</v>
      </c>
      <c r="L133">
        <v>0</v>
      </c>
      <c r="M133">
        <v>0</v>
      </c>
      <c r="N133">
        <v>1</v>
      </c>
      <c r="O133">
        <v>0</v>
      </c>
      <c r="P133">
        <v>9895</v>
      </c>
    </row>
    <row r="134" spans="1:16">
      <c r="A134">
        <v>2658</v>
      </c>
      <c r="B134">
        <v>121</v>
      </c>
      <c r="C134">
        <v>3.54</v>
      </c>
      <c r="D134">
        <v>3.07</v>
      </c>
      <c r="E134">
        <v>9.31</v>
      </c>
      <c r="F134">
        <v>110</v>
      </c>
      <c r="G134">
        <v>5250</v>
      </c>
      <c r="H134">
        <v>21</v>
      </c>
      <c r="I134">
        <v>28</v>
      </c>
      <c r="J134">
        <v>0</v>
      </c>
      <c r="K134">
        <v>0</v>
      </c>
      <c r="L134">
        <v>0</v>
      </c>
      <c r="M134">
        <v>0</v>
      </c>
      <c r="N134">
        <v>1</v>
      </c>
      <c r="O134">
        <v>0</v>
      </c>
      <c r="P134">
        <v>11850</v>
      </c>
    </row>
    <row r="135" spans="1:16">
      <c r="A135">
        <v>2695</v>
      </c>
      <c r="B135">
        <v>121</v>
      </c>
      <c r="C135">
        <v>3.54</v>
      </c>
      <c r="D135">
        <v>3.07</v>
      </c>
      <c r="E135">
        <v>9.3000000000000007</v>
      </c>
      <c r="F135">
        <v>110</v>
      </c>
      <c r="G135">
        <v>5250</v>
      </c>
      <c r="H135">
        <v>21</v>
      </c>
      <c r="I135">
        <v>28</v>
      </c>
      <c r="J135">
        <v>0</v>
      </c>
      <c r="K135">
        <v>0</v>
      </c>
      <c r="L135">
        <v>1</v>
      </c>
      <c r="M135">
        <v>0</v>
      </c>
      <c r="N135">
        <v>1</v>
      </c>
      <c r="O135">
        <v>0</v>
      </c>
      <c r="P135">
        <v>12170</v>
      </c>
    </row>
    <row r="136" spans="1:16">
      <c r="A136">
        <v>2707</v>
      </c>
      <c r="B136">
        <v>121</v>
      </c>
      <c r="C136">
        <v>2.54</v>
      </c>
      <c r="D136">
        <v>2.0699999999999998</v>
      </c>
      <c r="E136">
        <v>9.3000000000000007</v>
      </c>
      <c r="F136">
        <v>110</v>
      </c>
      <c r="G136">
        <v>5250</v>
      </c>
      <c r="H136">
        <v>21</v>
      </c>
      <c r="I136">
        <v>28</v>
      </c>
      <c r="J136">
        <v>0</v>
      </c>
      <c r="K136">
        <v>0</v>
      </c>
      <c r="L136">
        <v>0</v>
      </c>
      <c r="M136">
        <v>0</v>
      </c>
      <c r="N136">
        <v>1</v>
      </c>
      <c r="O136">
        <v>0</v>
      </c>
      <c r="P136">
        <v>15040</v>
      </c>
    </row>
    <row r="137" spans="1:16">
      <c r="A137">
        <v>2758</v>
      </c>
      <c r="B137">
        <v>121</v>
      </c>
      <c r="C137">
        <v>3.54</v>
      </c>
      <c r="D137">
        <v>3.07</v>
      </c>
      <c r="E137">
        <v>9.3000000000000007</v>
      </c>
      <c r="F137">
        <v>110</v>
      </c>
      <c r="G137">
        <v>5250</v>
      </c>
      <c r="H137">
        <v>21</v>
      </c>
      <c r="I137">
        <v>28</v>
      </c>
      <c r="J137">
        <v>0</v>
      </c>
      <c r="K137">
        <v>0</v>
      </c>
      <c r="L137">
        <v>1</v>
      </c>
      <c r="M137">
        <v>0</v>
      </c>
      <c r="N137">
        <v>1</v>
      </c>
      <c r="O137">
        <v>0</v>
      </c>
      <c r="P137">
        <v>15510</v>
      </c>
    </row>
    <row r="138" spans="1:16">
      <c r="A138">
        <v>2808</v>
      </c>
      <c r="B138">
        <v>121</v>
      </c>
      <c r="C138">
        <v>3.54</v>
      </c>
      <c r="D138">
        <v>3.07</v>
      </c>
      <c r="E138">
        <v>9</v>
      </c>
      <c r="F138">
        <v>160</v>
      </c>
      <c r="G138">
        <v>5500</v>
      </c>
      <c r="H138">
        <v>19</v>
      </c>
      <c r="I138">
        <v>26</v>
      </c>
      <c r="J138">
        <v>0</v>
      </c>
      <c r="K138">
        <v>1</v>
      </c>
      <c r="L138">
        <v>0</v>
      </c>
      <c r="M138">
        <v>0</v>
      </c>
      <c r="N138">
        <v>1</v>
      </c>
      <c r="O138">
        <v>0</v>
      </c>
      <c r="P138">
        <v>18150</v>
      </c>
    </row>
    <row r="139" spans="1:16">
      <c r="A139">
        <v>2847</v>
      </c>
      <c r="B139">
        <v>121</v>
      </c>
      <c r="C139">
        <v>3.54</v>
      </c>
      <c r="D139">
        <v>3.07</v>
      </c>
      <c r="E139">
        <v>9</v>
      </c>
      <c r="F139">
        <v>160</v>
      </c>
      <c r="G139">
        <v>5500</v>
      </c>
      <c r="H139">
        <v>19</v>
      </c>
      <c r="I139">
        <v>26</v>
      </c>
      <c r="J139">
        <v>0</v>
      </c>
      <c r="K139">
        <v>1</v>
      </c>
      <c r="L139">
        <v>1</v>
      </c>
      <c r="M139">
        <v>0</v>
      </c>
      <c r="N139">
        <v>1</v>
      </c>
      <c r="O139">
        <v>0</v>
      </c>
      <c r="P139">
        <v>18620</v>
      </c>
    </row>
    <row r="140" spans="1:16">
      <c r="A140">
        <v>2050</v>
      </c>
      <c r="B140">
        <v>97</v>
      </c>
      <c r="C140">
        <v>3.62</v>
      </c>
      <c r="D140">
        <v>2.36</v>
      </c>
      <c r="E140">
        <v>9</v>
      </c>
      <c r="F140">
        <v>69</v>
      </c>
      <c r="G140">
        <v>4900</v>
      </c>
      <c r="H140">
        <v>31</v>
      </c>
      <c r="I140">
        <v>36</v>
      </c>
      <c r="J140">
        <v>0</v>
      </c>
      <c r="K140">
        <v>0</v>
      </c>
      <c r="L140">
        <v>0</v>
      </c>
      <c r="M140">
        <v>0</v>
      </c>
      <c r="N140">
        <v>1</v>
      </c>
      <c r="O140">
        <v>0</v>
      </c>
      <c r="P140">
        <v>5118</v>
      </c>
    </row>
    <row r="141" spans="1:16">
      <c r="A141">
        <v>2120</v>
      </c>
      <c r="B141">
        <v>108</v>
      </c>
      <c r="C141">
        <v>3.62</v>
      </c>
      <c r="D141">
        <v>2.64</v>
      </c>
      <c r="E141">
        <v>8.6999999999999993</v>
      </c>
      <c r="F141">
        <v>73</v>
      </c>
      <c r="G141">
        <v>4400</v>
      </c>
      <c r="H141">
        <v>26</v>
      </c>
      <c r="I141">
        <v>31</v>
      </c>
      <c r="J141">
        <v>0</v>
      </c>
      <c r="K141">
        <v>0</v>
      </c>
      <c r="L141">
        <v>0</v>
      </c>
      <c r="M141">
        <v>0</v>
      </c>
      <c r="N141">
        <v>1</v>
      </c>
      <c r="O141">
        <v>0</v>
      </c>
      <c r="P141">
        <v>7053</v>
      </c>
    </row>
    <row r="142" spans="1:16">
      <c r="A142">
        <v>2240</v>
      </c>
      <c r="B142">
        <v>108</v>
      </c>
      <c r="C142">
        <v>3.62</v>
      </c>
      <c r="D142">
        <v>2.64</v>
      </c>
      <c r="E142">
        <v>8.6999999999999993</v>
      </c>
      <c r="F142">
        <v>73</v>
      </c>
      <c r="G142">
        <v>4400</v>
      </c>
      <c r="H142">
        <v>26</v>
      </c>
      <c r="I142">
        <v>31</v>
      </c>
      <c r="J142">
        <v>0</v>
      </c>
      <c r="K142">
        <v>0</v>
      </c>
      <c r="L142">
        <v>0</v>
      </c>
      <c r="M142">
        <v>1</v>
      </c>
      <c r="N142">
        <v>0</v>
      </c>
      <c r="O142">
        <v>0</v>
      </c>
      <c r="P142">
        <v>7603</v>
      </c>
    </row>
    <row r="143" spans="1:16">
      <c r="A143">
        <v>2145</v>
      </c>
      <c r="B143">
        <v>108</v>
      </c>
      <c r="C143">
        <v>3.62</v>
      </c>
      <c r="D143">
        <v>2.64</v>
      </c>
      <c r="E143">
        <v>9.5</v>
      </c>
      <c r="F143">
        <v>82</v>
      </c>
      <c r="G143">
        <v>4800</v>
      </c>
      <c r="H143">
        <v>32</v>
      </c>
      <c r="I143">
        <v>37</v>
      </c>
      <c r="J143">
        <v>0</v>
      </c>
      <c r="K143">
        <v>0</v>
      </c>
      <c r="L143">
        <v>1</v>
      </c>
      <c r="M143">
        <v>0</v>
      </c>
      <c r="N143">
        <v>1</v>
      </c>
      <c r="O143">
        <v>0</v>
      </c>
      <c r="P143">
        <v>7126</v>
      </c>
    </row>
    <row r="144" spans="1:16">
      <c r="A144">
        <v>2190</v>
      </c>
      <c r="B144">
        <v>108</v>
      </c>
      <c r="C144">
        <v>3.62</v>
      </c>
      <c r="D144">
        <v>2.64</v>
      </c>
      <c r="E144">
        <v>9.5</v>
      </c>
      <c r="F144">
        <v>82</v>
      </c>
      <c r="G144">
        <v>4400</v>
      </c>
      <c r="H144">
        <v>28</v>
      </c>
      <c r="I144">
        <v>33</v>
      </c>
      <c r="J144">
        <v>0</v>
      </c>
      <c r="K144">
        <v>0</v>
      </c>
      <c r="L144">
        <v>1</v>
      </c>
      <c r="M144">
        <v>0</v>
      </c>
      <c r="N144">
        <v>1</v>
      </c>
      <c r="O144">
        <v>0</v>
      </c>
      <c r="P144">
        <v>7775</v>
      </c>
    </row>
    <row r="145" spans="1:16">
      <c r="A145">
        <v>2340</v>
      </c>
      <c r="B145">
        <v>108</v>
      </c>
      <c r="C145">
        <v>3.62</v>
      </c>
      <c r="D145">
        <v>2.64</v>
      </c>
      <c r="E145">
        <v>9</v>
      </c>
      <c r="F145">
        <v>94</v>
      </c>
      <c r="G145">
        <v>5200</v>
      </c>
      <c r="H145">
        <v>26</v>
      </c>
      <c r="I145">
        <v>32</v>
      </c>
      <c r="J145">
        <v>0</v>
      </c>
      <c r="K145">
        <v>0</v>
      </c>
      <c r="L145">
        <v>1</v>
      </c>
      <c r="M145">
        <v>0</v>
      </c>
      <c r="N145">
        <v>1</v>
      </c>
      <c r="O145">
        <v>0</v>
      </c>
      <c r="P145">
        <v>9960</v>
      </c>
    </row>
    <row r="146" spans="1:16">
      <c r="A146">
        <v>2385</v>
      </c>
      <c r="B146">
        <v>108</v>
      </c>
      <c r="C146">
        <v>3.62</v>
      </c>
      <c r="D146">
        <v>2.64</v>
      </c>
      <c r="E146">
        <v>9</v>
      </c>
      <c r="F146">
        <v>82</v>
      </c>
      <c r="G146">
        <v>4800</v>
      </c>
      <c r="H146">
        <v>24</v>
      </c>
      <c r="I146">
        <v>25</v>
      </c>
      <c r="J146">
        <v>0</v>
      </c>
      <c r="K146">
        <v>0</v>
      </c>
      <c r="L146">
        <v>1</v>
      </c>
      <c r="M146">
        <v>1</v>
      </c>
      <c r="N146">
        <v>0</v>
      </c>
      <c r="O146">
        <v>0</v>
      </c>
      <c r="P146">
        <v>9233</v>
      </c>
    </row>
    <row r="147" spans="1:16">
      <c r="A147">
        <v>2510</v>
      </c>
      <c r="B147">
        <v>108</v>
      </c>
      <c r="C147">
        <v>3.62</v>
      </c>
      <c r="D147">
        <v>2.64</v>
      </c>
      <c r="E147">
        <v>7.7</v>
      </c>
      <c r="F147">
        <v>111</v>
      </c>
      <c r="G147">
        <v>4800</v>
      </c>
      <c r="H147">
        <v>24</v>
      </c>
      <c r="I147">
        <v>29</v>
      </c>
      <c r="J147">
        <v>0</v>
      </c>
      <c r="K147">
        <v>1</v>
      </c>
      <c r="L147">
        <v>1</v>
      </c>
      <c r="M147">
        <v>1</v>
      </c>
      <c r="N147">
        <v>0</v>
      </c>
      <c r="O147">
        <v>0</v>
      </c>
      <c r="P147">
        <v>11259</v>
      </c>
    </row>
    <row r="148" spans="1:16">
      <c r="A148">
        <v>2290</v>
      </c>
      <c r="B148">
        <v>108</v>
      </c>
      <c r="C148">
        <v>3.62</v>
      </c>
      <c r="D148">
        <v>2.64</v>
      </c>
      <c r="E148">
        <v>9</v>
      </c>
      <c r="F148">
        <v>82</v>
      </c>
      <c r="G148">
        <v>4800</v>
      </c>
      <c r="H148">
        <v>28</v>
      </c>
      <c r="I148">
        <v>32</v>
      </c>
      <c r="J148">
        <v>0</v>
      </c>
      <c r="K148">
        <v>0</v>
      </c>
      <c r="L148">
        <v>1</v>
      </c>
      <c r="M148">
        <v>0</v>
      </c>
      <c r="N148">
        <v>1</v>
      </c>
      <c r="O148">
        <v>0</v>
      </c>
      <c r="P148">
        <v>7463</v>
      </c>
    </row>
    <row r="149" spans="1:16">
      <c r="A149">
        <v>2455</v>
      </c>
      <c r="B149">
        <v>108</v>
      </c>
      <c r="C149">
        <v>3.62</v>
      </c>
      <c r="D149">
        <v>2.64</v>
      </c>
      <c r="E149">
        <v>9</v>
      </c>
      <c r="F149">
        <v>94</v>
      </c>
      <c r="G149">
        <v>5200</v>
      </c>
      <c r="H149">
        <v>25</v>
      </c>
      <c r="I149">
        <v>31</v>
      </c>
      <c r="J149">
        <v>0</v>
      </c>
      <c r="K149">
        <v>0</v>
      </c>
      <c r="L149">
        <v>1</v>
      </c>
      <c r="M149">
        <v>0</v>
      </c>
      <c r="N149">
        <v>1</v>
      </c>
      <c r="O149">
        <v>0</v>
      </c>
      <c r="P149">
        <v>10198</v>
      </c>
    </row>
    <row r="150" spans="1:16">
      <c r="A150">
        <v>2420</v>
      </c>
      <c r="B150">
        <v>108</v>
      </c>
      <c r="C150">
        <v>3.62</v>
      </c>
      <c r="D150">
        <v>2.64</v>
      </c>
      <c r="E150">
        <v>9</v>
      </c>
      <c r="F150">
        <v>82</v>
      </c>
      <c r="G150">
        <v>4800</v>
      </c>
      <c r="H150">
        <v>23</v>
      </c>
      <c r="I150">
        <v>29</v>
      </c>
      <c r="J150">
        <v>0</v>
      </c>
      <c r="K150">
        <v>0</v>
      </c>
      <c r="L150">
        <v>1</v>
      </c>
      <c r="M150">
        <v>1</v>
      </c>
      <c r="N150">
        <v>0</v>
      </c>
      <c r="O150">
        <v>0</v>
      </c>
      <c r="P150">
        <v>8013</v>
      </c>
    </row>
    <row r="151" spans="1:16">
      <c r="A151">
        <v>2650</v>
      </c>
      <c r="B151">
        <v>108</v>
      </c>
      <c r="C151">
        <v>3.62</v>
      </c>
      <c r="D151">
        <v>2.64</v>
      </c>
      <c r="E151">
        <v>7.7</v>
      </c>
      <c r="F151">
        <v>111</v>
      </c>
      <c r="G151">
        <v>4800</v>
      </c>
      <c r="H151">
        <v>23</v>
      </c>
      <c r="I151">
        <v>23</v>
      </c>
      <c r="J151">
        <v>0</v>
      </c>
      <c r="K151">
        <v>1</v>
      </c>
      <c r="L151">
        <v>1</v>
      </c>
      <c r="M151">
        <v>1</v>
      </c>
      <c r="N151">
        <v>0</v>
      </c>
      <c r="O151">
        <v>0</v>
      </c>
      <c r="P151">
        <v>11694</v>
      </c>
    </row>
    <row r="152" spans="1:16">
      <c r="A152">
        <v>1985</v>
      </c>
      <c r="B152">
        <v>92</v>
      </c>
      <c r="C152">
        <v>3.05</v>
      </c>
      <c r="D152">
        <v>3.03</v>
      </c>
      <c r="E152">
        <v>9</v>
      </c>
      <c r="F152">
        <v>62</v>
      </c>
      <c r="G152">
        <v>4800</v>
      </c>
      <c r="H152">
        <v>35</v>
      </c>
      <c r="I152">
        <v>39</v>
      </c>
      <c r="J152">
        <v>0</v>
      </c>
      <c r="K152">
        <v>0</v>
      </c>
      <c r="L152">
        <v>0</v>
      </c>
      <c r="M152">
        <v>0</v>
      </c>
      <c r="N152">
        <v>1</v>
      </c>
      <c r="O152">
        <v>0</v>
      </c>
      <c r="P152">
        <v>5348</v>
      </c>
    </row>
    <row r="153" spans="1:16">
      <c r="A153">
        <v>2040</v>
      </c>
      <c r="B153">
        <v>92</v>
      </c>
      <c r="C153">
        <v>3.05</v>
      </c>
      <c r="D153">
        <v>3.03</v>
      </c>
      <c r="E153">
        <v>9</v>
      </c>
      <c r="F153">
        <v>62</v>
      </c>
      <c r="G153">
        <v>4800</v>
      </c>
      <c r="H153">
        <v>31</v>
      </c>
      <c r="I153">
        <v>38</v>
      </c>
      <c r="J153">
        <v>0</v>
      </c>
      <c r="K153">
        <v>0</v>
      </c>
      <c r="L153">
        <v>0</v>
      </c>
      <c r="M153">
        <v>0</v>
      </c>
      <c r="N153">
        <v>1</v>
      </c>
      <c r="O153">
        <v>0</v>
      </c>
      <c r="P153">
        <v>6338</v>
      </c>
    </row>
    <row r="154" spans="1:16">
      <c r="A154">
        <v>2015</v>
      </c>
      <c r="B154">
        <v>92</v>
      </c>
      <c r="C154">
        <v>3.05</v>
      </c>
      <c r="D154">
        <v>3.03</v>
      </c>
      <c r="E154">
        <v>9</v>
      </c>
      <c r="F154">
        <v>62</v>
      </c>
      <c r="G154">
        <v>4800</v>
      </c>
      <c r="H154">
        <v>31</v>
      </c>
      <c r="I154">
        <v>38</v>
      </c>
      <c r="J154">
        <v>0</v>
      </c>
      <c r="K154">
        <v>0</v>
      </c>
      <c r="L154">
        <v>1</v>
      </c>
      <c r="M154">
        <v>0</v>
      </c>
      <c r="N154">
        <v>1</v>
      </c>
      <c r="O154">
        <v>0</v>
      </c>
      <c r="P154">
        <v>6488</v>
      </c>
    </row>
    <row r="155" spans="1:16">
      <c r="A155">
        <v>2280</v>
      </c>
      <c r="B155">
        <v>92</v>
      </c>
      <c r="C155">
        <v>3.05</v>
      </c>
      <c r="D155">
        <v>3.03</v>
      </c>
      <c r="E155">
        <v>9</v>
      </c>
      <c r="F155">
        <v>62</v>
      </c>
      <c r="G155">
        <v>4800</v>
      </c>
      <c r="H155">
        <v>31</v>
      </c>
      <c r="I155">
        <v>37</v>
      </c>
      <c r="J155">
        <v>0</v>
      </c>
      <c r="K155">
        <v>0</v>
      </c>
      <c r="L155">
        <v>1</v>
      </c>
      <c r="M155">
        <v>0</v>
      </c>
      <c r="N155">
        <v>1</v>
      </c>
      <c r="O155">
        <v>0</v>
      </c>
      <c r="P155">
        <v>6918</v>
      </c>
    </row>
    <row r="156" spans="1:16">
      <c r="A156">
        <v>2290</v>
      </c>
      <c r="B156">
        <v>92</v>
      </c>
      <c r="C156">
        <v>3.05</v>
      </c>
      <c r="D156">
        <v>3.03</v>
      </c>
      <c r="E156">
        <v>9</v>
      </c>
      <c r="F156">
        <v>62</v>
      </c>
      <c r="G156">
        <v>4800</v>
      </c>
      <c r="H156">
        <v>27</v>
      </c>
      <c r="I156">
        <v>32</v>
      </c>
      <c r="J156">
        <v>0</v>
      </c>
      <c r="K156">
        <v>0</v>
      </c>
      <c r="L156">
        <v>1</v>
      </c>
      <c r="M156">
        <v>1</v>
      </c>
      <c r="N156">
        <v>0</v>
      </c>
      <c r="O156">
        <v>0</v>
      </c>
      <c r="P156">
        <v>7898</v>
      </c>
    </row>
    <row r="157" spans="1:16">
      <c r="A157">
        <v>3110</v>
      </c>
      <c r="B157">
        <v>92</v>
      </c>
      <c r="C157">
        <v>3.05</v>
      </c>
      <c r="D157">
        <v>3.03</v>
      </c>
      <c r="E157">
        <v>9</v>
      </c>
      <c r="F157">
        <v>62</v>
      </c>
      <c r="G157">
        <v>4800</v>
      </c>
      <c r="H157">
        <v>27</v>
      </c>
      <c r="I157">
        <v>32</v>
      </c>
      <c r="J157">
        <v>0</v>
      </c>
      <c r="K157">
        <v>0</v>
      </c>
      <c r="L157">
        <v>1</v>
      </c>
      <c r="M157">
        <v>1</v>
      </c>
      <c r="N157">
        <v>0</v>
      </c>
      <c r="O157">
        <v>0</v>
      </c>
      <c r="P157">
        <v>8778</v>
      </c>
    </row>
    <row r="158" spans="1:16">
      <c r="A158">
        <v>2081</v>
      </c>
      <c r="B158">
        <v>98</v>
      </c>
      <c r="C158">
        <v>3.19</v>
      </c>
      <c r="D158">
        <v>3.03</v>
      </c>
      <c r="E158">
        <v>9</v>
      </c>
      <c r="F158">
        <v>70</v>
      </c>
      <c r="G158">
        <v>4800</v>
      </c>
      <c r="H158">
        <v>30</v>
      </c>
      <c r="I158">
        <v>37</v>
      </c>
      <c r="J158">
        <v>0</v>
      </c>
      <c r="K158">
        <v>0</v>
      </c>
      <c r="L158">
        <v>1</v>
      </c>
      <c r="M158">
        <v>0</v>
      </c>
      <c r="N158">
        <v>1</v>
      </c>
      <c r="O158">
        <v>0</v>
      </c>
      <c r="P158">
        <v>6938</v>
      </c>
    </row>
    <row r="159" spans="1:16">
      <c r="A159">
        <v>2109</v>
      </c>
      <c r="B159">
        <v>98</v>
      </c>
      <c r="C159">
        <v>3.19</v>
      </c>
      <c r="D159">
        <v>3.03</v>
      </c>
      <c r="E159">
        <v>9</v>
      </c>
      <c r="F159">
        <v>70</v>
      </c>
      <c r="G159">
        <v>4800</v>
      </c>
      <c r="H159">
        <v>30</v>
      </c>
      <c r="I159">
        <v>37</v>
      </c>
      <c r="J159">
        <v>0</v>
      </c>
      <c r="K159">
        <v>0</v>
      </c>
      <c r="L159">
        <v>1</v>
      </c>
      <c r="M159">
        <v>0</v>
      </c>
      <c r="N159">
        <v>1</v>
      </c>
      <c r="O159">
        <v>0</v>
      </c>
      <c r="P159">
        <v>7198</v>
      </c>
    </row>
    <row r="160" spans="1:16">
      <c r="A160">
        <v>2275</v>
      </c>
      <c r="B160">
        <v>110</v>
      </c>
      <c r="C160">
        <v>3.27</v>
      </c>
      <c r="D160">
        <v>3.35</v>
      </c>
      <c r="E160">
        <v>22.5</v>
      </c>
      <c r="F160">
        <v>56</v>
      </c>
      <c r="G160">
        <v>4500</v>
      </c>
      <c r="H160">
        <v>34</v>
      </c>
      <c r="I160">
        <v>36</v>
      </c>
      <c r="J160">
        <v>1</v>
      </c>
      <c r="K160">
        <v>0</v>
      </c>
      <c r="L160">
        <v>1</v>
      </c>
      <c r="M160">
        <v>0</v>
      </c>
      <c r="N160">
        <v>1</v>
      </c>
      <c r="O160">
        <v>0</v>
      </c>
      <c r="P160">
        <v>7898</v>
      </c>
    </row>
    <row r="161" spans="1:16">
      <c r="A161">
        <v>2275</v>
      </c>
      <c r="B161">
        <v>110</v>
      </c>
      <c r="C161">
        <v>3.27</v>
      </c>
      <c r="D161">
        <v>3.35</v>
      </c>
      <c r="E161">
        <v>22.5</v>
      </c>
      <c r="F161">
        <v>56</v>
      </c>
      <c r="G161">
        <v>4500</v>
      </c>
      <c r="H161">
        <v>38</v>
      </c>
      <c r="I161">
        <v>47</v>
      </c>
      <c r="J161">
        <v>1</v>
      </c>
      <c r="K161">
        <v>0</v>
      </c>
      <c r="L161">
        <v>1</v>
      </c>
      <c r="M161">
        <v>0</v>
      </c>
      <c r="N161">
        <v>1</v>
      </c>
      <c r="O161">
        <v>0</v>
      </c>
      <c r="P161">
        <v>7788</v>
      </c>
    </row>
    <row r="162" spans="1:16">
      <c r="A162">
        <v>2094</v>
      </c>
      <c r="B162">
        <v>98</v>
      </c>
      <c r="C162">
        <v>3.19</v>
      </c>
      <c r="D162">
        <v>3.03</v>
      </c>
      <c r="E162">
        <v>9</v>
      </c>
      <c r="F162">
        <v>70</v>
      </c>
      <c r="G162">
        <v>4800</v>
      </c>
      <c r="H162">
        <v>38</v>
      </c>
      <c r="I162">
        <v>47</v>
      </c>
      <c r="J162">
        <v>0</v>
      </c>
      <c r="K162">
        <v>0</v>
      </c>
      <c r="L162">
        <v>1</v>
      </c>
      <c r="M162">
        <v>0</v>
      </c>
      <c r="N162">
        <v>1</v>
      </c>
      <c r="O162">
        <v>0</v>
      </c>
      <c r="P162">
        <v>7738</v>
      </c>
    </row>
    <row r="163" spans="1:16">
      <c r="A163">
        <v>2122</v>
      </c>
      <c r="B163">
        <v>98</v>
      </c>
      <c r="C163">
        <v>3.19</v>
      </c>
      <c r="D163">
        <v>3.03</v>
      </c>
      <c r="E163">
        <v>9</v>
      </c>
      <c r="F163">
        <v>70</v>
      </c>
      <c r="G163">
        <v>4800</v>
      </c>
      <c r="H163">
        <v>28</v>
      </c>
      <c r="I163">
        <v>34</v>
      </c>
      <c r="J163">
        <v>0</v>
      </c>
      <c r="K163">
        <v>0</v>
      </c>
      <c r="L163">
        <v>1</v>
      </c>
      <c r="M163">
        <v>0</v>
      </c>
      <c r="N163">
        <v>1</v>
      </c>
      <c r="O163">
        <v>0</v>
      </c>
      <c r="P163">
        <v>8358</v>
      </c>
    </row>
    <row r="164" spans="1:16">
      <c r="A164">
        <v>2140</v>
      </c>
      <c r="B164">
        <v>98</v>
      </c>
      <c r="C164">
        <v>3.19</v>
      </c>
      <c r="D164">
        <v>3.03</v>
      </c>
      <c r="E164">
        <v>9</v>
      </c>
      <c r="F164">
        <v>70</v>
      </c>
      <c r="G164">
        <v>4800</v>
      </c>
      <c r="H164">
        <v>28</v>
      </c>
      <c r="I164">
        <v>34</v>
      </c>
      <c r="J164">
        <v>0</v>
      </c>
      <c r="K164">
        <v>0</v>
      </c>
      <c r="L164">
        <v>1</v>
      </c>
      <c r="M164">
        <v>0</v>
      </c>
      <c r="N164">
        <v>1</v>
      </c>
      <c r="O164">
        <v>0</v>
      </c>
      <c r="P164">
        <v>9258</v>
      </c>
    </row>
    <row r="165" spans="1:16">
      <c r="A165">
        <v>2169</v>
      </c>
      <c r="B165">
        <v>98</v>
      </c>
      <c r="C165">
        <v>3.19</v>
      </c>
      <c r="D165">
        <v>3.03</v>
      </c>
      <c r="E165">
        <v>9</v>
      </c>
      <c r="F165">
        <v>70</v>
      </c>
      <c r="G165">
        <v>4800</v>
      </c>
      <c r="H165">
        <v>29</v>
      </c>
      <c r="I165">
        <v>34</v>
      </c>
      <c r="J165">
        <v>0</v>
      </c>
      <c r="K165">
        <v>0</v>
      </c>
      <c r="L165">
        <v>0</v>
      </c>
      <c r="M165">
        <v>0</v>
      </c>
      <c r="N165">
        <v>0</v>
      </c>
      <c r="O165">
        <v>0</v>
      </c>
      <c r="P165">
        <v>8058</v>
      </c>
    </row>
    <row r="166" spans="1:16">
      <c r="A166">
        <v>2204</v>
      </c>
      <c r="B166">
        <v>98</v>
      </c>
      <c r="C166">
        <v>3.19</v>
      </c>
      <c r="D166">
        <v>3.03</v>
      </c>
      <c r="E166">
        <v>9</v>
      </c>
      <c r="F166">
        <v>70</v>
      </c>
      <c r="G166">
        <v>4800</v>
      </c>
      <c r="H166">
        <v>29</v>
      </c>
      <c r="I166">
        <v>34</v>
      </c>
      <c r="J166">
        <v>0</v>
      </c>
      <c r="K166">
        <v>0</v>
      </c>
      <c r="L166">
        <v>0</v>
      </c>
      <c r="M166">
        <v>0</v>
      </c>
      <c r="N166">
        <v>0</v>
      </c>
      <c r="O166">
        <v>0</v>
      </c>
      <c r="P166">
        <v>8238</v>
      </c>
    </row>
    <row r="167" spans="1:16">
      <c r="A167">
        <v>2265</v>
      </c>
      <c r="B167">
        <v>98</v>
      </c>
      <c r="C167">
        <v>3.24</v>
      </c>
      <c r="D167">
        <v>3.08</v>
      </c>
      <c r="E167">
        <v>9.4</v>
      </c>
      <c r="F167">
        <v>112</v>
      </c>
      <c r="G167">
        <v>6600</v>
      </c>
      <c r="H167">
        <v>26</v>
      </c>
      <c r="I167">
        <v>29</v>
      </c>
      <c r="J167">
        <v>0</v>
      </c>
      <c r="K167">
        <v>0</v>
      </c>
      <c r="L167">
        <v>0</v>
      </c>
      <c r="M167">
        <v>0</v>
      </c>
      <c r="N167">
        <v>0</v>
      </c>
      <c r="O167">
        <v>0</v>
      </c>
      <c r="P167">
        <v>9298</v>
      </c>
    </row>
    <row r="168" spans="1:16">
      <c r="A168">
        <v>2300</v>
      </c>
      <c r="B168">
        <v>98</v>
      </c>
      <c r="C168">
        <v>3.24</v>
      </c>
      <c r="D168">
        <v>3.08</v>
      </c>
      <c r="E168">
        <v>9.4</v>
      </c>
      <c r="F168">
        <v>112</v>
      </c>
      <c r="G168">
        <v>6600</v>
      </c>
      <c r="H168">
        <v>26</v>
      </c>
      <c r="I168">
        <v>29</v>
      </c>
      <c r="J168">
        <v>0</v>
      </c>
      <c r="K168">
        <v>0</v>
      </c>
      <c r="L168">
        <v>0</v>
      </c>
      <c r="M168">
        <v>0</v>
      </c>
      <c r="N168">
        <v>0</v>
      </c>
      <c r="O168">
        <v>0</v>
      </c>
      <c r="P168">
        <v>9538</v>
      </c>
    </row>
    <row r="169" spans="1:16">
      <c r="A169">
        <v>2540</v>
      </c>
      <c r="B169">
        <v>146</v>
      </c>
      <c r="C169">
        <v>3.62</v>
      </c>
      <c r="D169">
        <v>3.5</v>
      </c>
      <c r="E169">
        <v>9.3000000000000007</v>
      </c>
      <c r="F169">
        <v>116</v>
      </c>
      <c r="G169">
        <v>4800</v>
      </c>
      <c r="H169">
        <v>24</v>
      </c>
      <c r="I169">
        <v>30</v>
      </c>
      <c r="J169">
        <v>0</v>
      </c>
      <c r="K169">
        <v>0</v>
      </c>
      <c r="L169">
        <v>0</v>
      </c>
      <c r="M169">
        <v>0</v>
      </c>
      <c r="N169">
        <v>0</v>
      </c>
      <c r="O169">
        <v>0</v>
      </c>
      <c r="P169">
        <v>8449</v>
      </c>
    </row>
    <row r="170" spans="1:16">
      <c r="A170">
        <v>2536</v>
      </c>
      <c r="B170">
        <v>146</v>
      </c>
      <c r="C170">
        <v>3.62</v>
      </c>
      <c r="D170">
        <v>3.5</v>
      </c>
      <c r="E170">
        <v>9.3000000000000007</v>
      </c>
      <c r="F170">
        <v>116</v>
      </c>
      <c r="G170">
        <v>4800</v>
      </c>
      <c r="H170">
        <v>24</v>
      </c>
      <c r="I170">
        <v>30</v>
      </c>
      <c r="J170">
        <v>0</v>
      </c>
      <c r="K170">
        <v>0</v>
      </c>
      <c r="L170">
        <v>0</v>
      </c>
      <c r="M170">
        <v>0</v>
      </c>
      <c r="N170">
        <v>0</v>
      </c>
      <c r="O170">
        <v>0</v>
      </c>
      <c r="P170">
        <v>9639</v>
      </c>
    </row>
    <row r="171" spans="1:16">
      <c r="A171">
        <v>2551</v>
      </c>
      <c r="B171">
        <v>146</v>
      </c>
      <c r="C171">
        <v>3.62</v>
      </c>
      <c r="D171">
        <v>3.5</v>
      </c>
      <c r="E171">
        <v>9.3000000000000007</v>
      </c>
      <c r="F171">
        <v>116</v>
      </c>
      <c r="G171">
        <v>4800</v>
      </c>
      <c r="H171">
        <v>24</v>
      </c>
      <c r="I171">
        <v>30</v>
      </c>
      <c r="J171">
        <v>0</v>
      </c>
      <c r="K171">
        <v>0</v>
      </c>
      <c r="L171">
        <v>0</v>
      </c>
      <c r="M171">
        <v>0</v>
      </c>
      <c r="N171">
        <v>0</v>
      </c>
      <c r="O171">
        <v>0</v>
      </c>
      <c r="P171">
        <v>9989</v>
      </c>
    </row>
    <row r="172" spans="1:16">
      <c r="A172">
        <v>2679</v>
      </c>
      <c r="B172">
        <v>146</v>
      </c>
      <c r="C172">
        <v>3.62</v>
      </c>
      <c r="D172">
        <v>3.5</v>
      </c>
      <c r="E172">
        <v>9.3000000000000007</v>
      </c>
      <c r="F172">
        <v>116</v>
      </c>
      <c r="G172">
        <v>4800</v>
      </c>
      <c r="H172">
        <v>24</v>
      </c>
      <c r="I172">
        <v>30</v>
      </c>
      <c r="J172">
        <v>0</v>
      </c>
      <c r="K172">
        <v>0</v>
      </c>
      <c r="L172">
        <v>0</v>
      </c>
      <c r="M172">
        <v>0</v>
      </c>
      <c r="N172">
        <v>0</v>
      </c>
      <c r="O172">
        <v>0</v>
      </c>
      <c r="P172">
        <v>11199</v>
      </c>
    </row>
    <row r="173" spans="1:16">
      <c r="A173">
        <v>2714</v>
      </c>
      <c r="B173">
        <v>146</v>
      </c>
      <c r="C173">
        <v>3.62</v>
      </c>
      <c r="D173">
        <v>3.5</v>
      </c>
      <c r="E173">
        <v>9.3000000000000007</v>
      </c>
      <c r="F173">
        <v>116</v>
      </c>
      <c r="G173">
        <v>4800</v>
      </c>
      <c r="H173">
        <v>24</v>
      </c>
      <c r="I173">
        <v>30</v>
      </c>
      <c r="J173">
        <v>0</v>
      </c>
      <c r="K173">
        <v>0</v>
      </c>
      <c r="L173">
        <v>0</v>
      </c>
      <c r="M173">
        <v>0</v>
      </c>
      <c r="N173">
        <v>0</v>
      </c>
      <c r="O173">
        <v>0</v>
      </c>
      <c r="P173">
        <v>11549</v>
      </c>
    </row>
    <row r="174" spans="1:16">
      <c r="A174">
        <v>2975</v>
      </c>
      <c r="B174">
        <v>146</v>
      </c>
      <c r="C174">
        <v>3.62</v>
      </c>
      <c r="D174">
        <v>3.5</v>
      </c>
      <c r="E174">
        <v>9.3000000000000007</v>
      </c>
      <c r="F174">
        <v>116</v>
      </c>
      <c r="G174">
        <v>4800</v>
      </c>
      <c r="H174">
        <v>24</v>
      </c>
      <c r="I174">
        <v>30</v>
      </c>
      <c r="J174">
        <v>0</v>
      </c>
      <c r="K174">
        <v>0</v>
      </c>
      <c r="L174">
        <v>0</v>
      </c>
      <c r="M174">
        <v>0</v>
      </c>
      <c r="N174">
        <v>0</v>
      </c>
      <c r="O174">
        <v>0</v>
      </c>
      <c r="P174">
        <v>17669</v>
      </c>
    </row>
    <row r="175" spans="1:16">
      <c r="A175">
        <v>2326</v>
      </c>
      <c r="B175">
        <v>122</v>
      </c>
      <c r="C175">
        <v>3.31</v>
      </c>
      <c r="D175">
        <v>3.54</v>
      </c>
      <c r="E175">
        <v>8.6999999999999993</v>
      </c>
      <c r="F175">
        <v>92</v>
      </c>
      <c r="G175">
        <v>4200</v>
      </c>
      <c r="H175">
        <v>29</v>
      </c>
      <c r="I175">
        <v>34</v>
      </c>
      <c r="J175">
        <v>0</v>
      </c>
      <c r="K175">
        <v>0</v>
      </c>
      <c r="L175">
        <v>1</v>
      </c>
      <c r="M175">
        <v>0</v>
      </c>
      <c r="N175">
        <v>1</v>
      </c>
      <c r="O175">
        <v>0</v>
      </c>
      <c r="P175">
        <v>8948</v>
      </c>
    </row>
    <row r="176" spans="1:16">
      <c r="A176">
        <v>2480</v>
      </c>
      <c r="B176">
        <v>110</v>
      </c>
      <c r="C176">
        <v>3.27</v>
      </c>
      <c r="D176">
        <v>3.35</v>
      </c>
      <c r="E176">
        <v>22.5</v>
      </c>
      <c r="F176">
        <v>73</v>
      </c>
      <c r="G176">
        <v>4500</v>
      </c>
      <c r="H176">
        <v>30</v>
      </c>
      <c r="I176">
        <v>33</v>
      </c>
      <c r="J176">
        <v>1</v>
      </c>
      <c r="K176">
        <v>1</v>
      </c>
      <c r="L176">
        <v>1</v>
      </c>
      <c r="M176">
        <v>0</v>
      </c>
      <c r="N176">
        <v>1</v>
      </c>
      <c r="O176">
        <v>0</v>
      </c>
      <c r="P176">
        <v>10698</v>
      </c>
    </row>
    <row r="177" spans="1:16">
      <c r="A177">
        <v>2414</v>
      </c>
      <c r="B177">
        <v>122</v>
      </c>
      <c r="C177">
        <v>3.31</v>
      </c>
      <c r="D177">
        <v>3.54</v>
      </c>
      <c r="E177">
        <v>8.6999999999999993</v>
      </c>
      <c r="F177">
        <v>92</v>
      </c>
      <c r="G177">
        <v>4200</v>
      </c>
      <c r="H177">
        <v>27</v>
      </c>
      <c r="I177">
        <v>32</v>
      </c>
      <c r="J177">
        <v>0</v>
      </c>
      <c r="K177">
        <v>0</v>
      </c>
      <c r="L177">
        <v>1</v>
      </c>
      <c r="M177">
        <v>0</v>
      </c>
      <c r="N177">
        <v>1</v>
      </c>
      <c r="O177">
        <v>0</v>
      </c>
      <c r="P177">
        <v>9988</v>
      </c>
    </row>
    <row r="178" spans="1:16">
      <c r="A178">
        <v>2414</v>
      </c>
      <c r="B178">
        <v>122</v>
      </c>
      <c r="C178">
        <v>3.31</v>
      </c>
      <c r="D178">
        <v>3.54</v>
      </c>
      <c r="E178">
        <v>8.6999999999999993</v>
      </c>
      <c r="F178">
        <v>92</v>
      </c>
      <c r="G178">
        <v>4200</v>
      </c>
      <c r="H178">
        <v>27</v>
      </c>
      <c r="I178">
        <v>32</v>
      </c>
      <c r="J178">
        <v>0</v>
      </c>
      <c r="K178">
        <v>0</v>
      </c>
      <c r="L178">
        <v>1</v>
      </c>
      <c r="M178">
        <v>0</v>
      </c>
      <c r="N178">
        <v>1</v>
      </c>
      <c r="O178">
        <v>0</v>
      </c>
      <c r="P178">
        <v>10898</v>
      </c>
    </row>
    <row r="179" spans="1:16">
      <c r="A179">
        <v>2458</v>
      </c>
      <c r="B179">
        <v>122</v>
      </c>
      <c r="C179">
        <v>3.31</v>
      </c>
      <c r="D179">
        <v>3.54</v>
      </c>
      <c r="E179">
        <v>8.6999999999999993</v>
      </c>
      <c r="F179">
        <v>92</v>
      </c>
      <c r="G179">
        <v>4200</v>
      </c>
      <c r="H179">
        <v>27</v>
      </c>
      <c r="I179">
        <v>32</v>
      </c>
      <c r="J179">
        <v>0</v>
      </c>
      <c r="K179">
        <v>0</v>
      </c>
      <c r="L179">
        <v>1</v>
      </c>
      <c r="M179">
        <v>0</v>
      </c>
      <c r="N179">
        <v>1</v>
      </c>
      <c r="O179">
        <v>0</v>
      </c>
      <c r="P179">
        <v>11248</v>
      </c>
    </row>
    <row r="180" spans="1:16">
      <c r="A180">
        <v>2976</v>
      </c>
      <c r="B180">
        <v>171</v>
      </c>
      <c r="C180">
        <v>3.27</v>
      </c>
      <c r="D180">
        <v>3.35</v>
      </c>
      <c r="E180">
        <v>9.3000000000000007</v>
      </c>
      <c r="F180">
        <v>161</v>
      </c>
      <c r="G180">
        <v>5200</v>
      </c>
      <c r="H180">
        <v>20</v>
      </c>
      <c r="I180">
        <v>24</v>
      </c>
      <c r="J180">
        <v>0</v>
      </c>
      <c r="K180">
        <v>0</v>
      </c>
      <c r="L180">
        <v>0</v>
      </c>
      <c r="M180">
        <v>0</v>
      </c>
      <c r="N180">
        <v>0</v>
      </c>
      <c r="O180">
        <v>0</v>
      </c>
      <c r="P180">
        <v>16558</v>
      </c>
    </row>
    <row r="181" spans="1:16">
      <c r="A181">
        <v>3016</v>
      </c>
      <c r="B181">
        <v>171</v>
      </c>
      <c r="C181">
        <v>3.27</v>
      </c>
      <c r="D181">
        <v>3.35</v>
      </c>
      <c r="E181">
        <v>9.3000000000000007</v>
      </c>
      <c r="F181">
        <v>161</v>
      </c>
      <c r="G181">
        <v>5200</v>
      </c>
      <c r="H181">
        <v>19</v>
      </c>
      <c r="I181">
        <v>24</v>
      </c>
      <c r="J181">
        <v>0</v>
      </c>
      <c r="K181">
        <v>0</v>
      </c>
      <c r="L181">
        <v>0</v>
      </c>
      <c r="M181">
        <v>0</v>
      </c>
      <c r="N181">
        <v>0</v>
      </c>
      <c r="O181">
        <v>0</v>
      </c>
      <c r="P181">
        <v>15998</v>
      </c>
    </row>
    <row r="182" spans="1:16">
      <c r="A182">
        <v>3131</v>
      </c>
      <c r="B182">
        <v>171</v>
      </c>
      <c r="C182">
        <v>3.27</v>
      </c>
      <c r="D182">
        <v>3.35</v>
      </c>
      <c r="E182">
        <v>9.1999999999999993</v>
      </c>
      <c r="F182">
        <v>156</v>
      </c>
      <c r="G182">
        <v>5200</v>
      </c>
      <c r="H182">
        <v>20</v>
      </c>
      <c r="I182">
        <v>24</v>
      </c>
      <c r="J182">
        <v>0</v>
      </c>
      <c r="K182">
        <v>0</v>
      </c>
      <c r="L182">
        <v>1</v>
      </c>
      <c r="M182">
        <v>0</v>
      </c>
      <c r="N182">
        <v>0</v>
      </c>
      <c r="O182">
        <v>0</v>
      </c>
      <c r="P182">
        <v>15690</v>
      </c>
    </row>
    <row r="183" spans="1:16">
      <c r="A183">
        <v>3151</v>
      </c>
      <c r="B183">
        <v>161</v>
      </c>
      <c r="C183">
        <v>3.27</v>
      </c>
      <c r="D183">
        <v>3.35</v>
      </c>
      <c r="E183">
        <v>9.1999999999999993</v>
      </c>
      <c r="F183">
        <v>156</v>
      </c>
      <c r="G183">
        <v>5200</v>
      </c>
      <c r="H183">
        <v>19</v>
      </c>
      <c r="I183">
        <v>24</v>
      </c>
      <c r="J183">
        <v>0</v>
      </c>
      <c r="K183">
        <v>0</v>
      </c>
      <c r="L183">
        <v>1</v>
      </c>
      <c r="M183">
        <v>0</v>
      </c>
      <c r="N183">
        <v>0</v>
      </c>
      <c r="O183">
        <v>0</v>
      </c>
      <c r="P183">
        <v>15750</v>
      </c>
    </row>
    <row r="184" spans="1:16">
      <c r="A184">
        <v>2261</v>
      </c>
      <c r="B184">
        <v>97</v>
      </c>
      <c r="C184">
        <v>3.01</v>
      </c>
      <c r="D184">
        <v>3.4</v>
      </c>
      <c r="E184">
        <v>23</v>
      </c>
      <c r="F184">
        <v>52</v>
      </c>
      <c r="G184">
        <v>4800</v>
      </c>
      <c r="H184">
        <v>37</v>
      </c>
      <c r="I184">
        <v>46</v>
      </c>
      <c r="J184">
        <v>1</v>
      </c>
      <c r="K184">
        <v>0</v>
      </c>
      <c r="L184">
        <v>0</v>
      </c>
      <c r="M184">
        <v>0</v>
      </c>
      <c r="N184">
        <v>1</v>
      </c>
      <c r="O184">
        <v>0</v>
      </c>
      <c r="P184">
        <v>7775</v>
      </c>
    </row>
    <row r="185" spans="1:16">
      <c r="A185">
        <v>2209</v>
      </c>
      <c r="B185">
        <v>109</v>
      </c>
      <c r="C185">
        <v>3.19</v>
      </c>
      <c r="D185">
        <v>3.4</v>
      </c>
      <c r="E185">
        <v>9</v>
      </c>
      <c r="F185">
        <v>85</v>
      </c>
      <c r="G185">
        <v>5250</v>
      </c>
      <c r="H185">
        <v>27</v>
      </c>
      <c r="I185">
        <v>34</v>
      </c>
      <c r="J185">
        <v>0</v>
      </c>
      <c r="K185">
        <v>0</v>
      </c>
      <c r="L185">
        <v>0</v>
      </c>
      <c r="M185">
        <v>0</v>
      </c>
      <c r="N185">
        <v>1</v>
      </c>
      <c r="O185">
        <v>0</v>
      </c>
      <c r="P185">
        <v>7975</v>
      </c>
    </row>
    <row r="186" spans="1:16">
      <c r="A186">
        <v>2264</v>
      </c>
      <c r="B186">
        <v>97</v>
      </c>
      <c r="C186">
        <v>3.01</v>
      </c>
      <c r="D186">
        <v>3.4</v>
      </c>
      <c r="E186">
        <v>23</v>
      </c>
      <c r="F186">
        <v>52</v>
      </c>
      <c r="G186">
        <v>4800</v>
      </c>
      <c r="H186">
        <v>37</v>
      </c>
      <c r="I186">
        <v>46</v>
      </c>
      <c r="J186">
        <v>1</v>
      </c>
      <c r="K186">
        <v>0</v>
      </c>
      <c r="L186">
        <v>1</v>
      </c>
      <c r="M186">
        <v>0</v>
      </c>
      <c r="N186">
        <v>1</v>
      </c>
      <c r="O186">
        <v>0</v>
      </c>
      <c r="P186">
        <v>7995</v>
      </c>
    </row>
    <row r="187" spans="1:16">
      <c r="A187">
        <v>2212</v>
      </c>
      <c r="B187">
        <v>109</v>
      </c>
      <c r="C187">
        <v>3.19</v>
      </c>
      <c r="D187">
        <v>3.4</v>
      </c>
      <c r="E187">
        <v>9</v>
      </c>
      <c r="F187">
        <v>85</v>
      </c>
      <c r="G187">
        <v>5250</v>
      </c>
      <c r="H187">
        <v>27</v>
      </c>
      <c r="I187">
        <v>34</v>
      </c>
      <c r="J187">
        <v>0</v>
      </c>
      <c r="K187">
        <v>0</v>
      </c>
      <c r="L187">
        <v>1</v>
      </c>
      <c r="M187">
        <v>0</v>
      </c>
      <c r="N187">
        <v>1</v>
      </c>
      <c r="O187">
        <v>0</v>
      </c>
      <c r="P187">
        <v>8195</v>
      </c>
    </row>
    <row r="188" spans="1:16">
      <c r="A188">
        <v>2275</v>
      </c>
      <c r="B188">
        <v>109</v>
      </c>
      <c r="C188">
        <v>3.19</v>
      </c>
      <c r="D188">
        <v>3.4</v>
      </c>
      <c r="E188">
        <v>9</v>
      </c>
      <c r="F188">
        <v>85</v>
      </c>
      <c r="G188">
        <v>5250</v>
      </c>
      <c r="H188">
        <v>27</v>
      </c>
      <c r="I188">
        <v>34</v>
      </c>
      <c r="J188">
        <v>0</v>
      </c>
      <c r="K188">
        <v>0</v>
      </c>
      <c r="L188">
        <v>1</v>
      </c>
      <c r="M188">
        <v>0</v>
      </c>
      <c r="N188">
        <v>1</v>
      </c>
      <c r="O188">
        <v>0</v>
      </c>
      <c r="P188">
        <v>8495</v>
      </c>
    </row>
    <row r="189" spans="1:16">
      <c r="A189">
        <v>2319</v>
      </c>
      <c r="B189">
        <v>97</v>
      </c>
      <c r="C189">
        <v>3.01</v>
      </c>
      <c r="D189">
        <v>3.4</v>
      </c>
      <c r="E189">
        <v>23</v>
      </c>
      <c r="F189">
        <v>68</v>
      </c>
      <c r="G189">
        <v>4500</v>
      </c>
      <c r="H189">
        <v>37</v>
      </c>
      <c r="I189">
        <v>42</v>
      </c>
      <c r="J189">
        <v>1</v>
      </c>
      <c r="K189">
        <v>1</v>
      </c>
      <c r="L189">
        <v>1</v>
      </c>
      <c r="M189">
        <v>0</v>
      </c>
      <c r="N189">
        <v>1</v>
      </c>
      <c r="O189">
        <v>0</v>
      </c>
      <c r="P189">
        <v>9495</v>
      </c>
    </row>
    <row r="190" spans="1:16">
      <c r="A190">
        <v>2300</v>
      </c>
      <c r="B190">
        <v>109</v>
      </c>
      <c r="C190">
        <v>3.19</v>
      </c>
      <c r="D190">
        <v>3.4</v>
      </c>
      <c r="E190">
        <v>10</v>
      </c>
      <c r="F190">
        <v>100</v>
      </c>
      <c r="G190">
        <v>5500</v>
      </c>
      <c r="H190">
        <v>26</v>
      </c>
      <c r="I190">
        <v>32</v>
      </c>
      <c r="J190">
        <v>0</v>
      </c>
      <c r="K190">
        <v>0</v>
      </c>
      <c r="L190">
        <v>1</v>
      </c>
      <c r="M190">
        <v>0</v>
      </c>
      <c r="N190">
        <v>1</v>
      </c>
      <c r="O190">
        <v>0</v>
      </c>
      <c r="P190">
        <v>9995</v>
      </c>
    </row>
    <row r="191" spans="1:16">
      <c r="A191">
        <v>2254</v>
      </c>
      <c r="B191">
        <v>109</v>
      </c>
      <c r="C191">
        <v>3.19</v>
      </c>
      <c r="D191">
        <v>3.4</v>
      </c>
      <c r="E191">
        <v>8.5</v>
      </c>
      <c r="F191">
        <v>90</v>
      </c>
      <c r="G191">
        <v>5500</v>
      </c>
      <c r="H191">
        <v>24</v>
      </c>
      <c r="I191">
        <v>29</v>
      </c>
      <c r="J191">
        <v>0</v>
      </c>
      <c r="K191">
        <v>0</v>
      </c>
      <c r="L191">
        <v>0</v>
      </c>
      <c r="M191">
        <v>0</v>
      </c>
      <c r="N191">
        <v>1</v>
      </c>
      <c r="O191">
        <v>0</v>
      </c>
      <c r="P191">
        <v>11595</v>
      </c>
    </row>
    <row r="192" spans="1:16">
      <c r="A192">
        <v>2221</v>
      </c>
      <c r="B192">
        <v>109</v>
      </c>
      <c r="C192">
        <v>3.19</v>
      </c>
      <c r="D192">
        <v>3.4</v>
      </c>
      <c r="E192">
        <v>8.5</v>
      </c>
      <c r="F192">
        <v>90</v>
      </c>
      <c r="G192">
        <v>5500</v>
      </c>
      <c r="H192">
        <v>24</v>
      </c>
      <c r="I192">
        <v>29</v>
      </c>
      <c r="J192">
        <v>0</v>
      </c>
      <c r="K192">
        <v>0</v>
      </c>
      <c r="L192">
        <v>0</v>
      </c>
      <c r="M192">
        <v>0</v>
      </c>
      <c r="N192">
        <v>1</v>
      </c>
      <c r="O192">
        <v>0</v>
      </c>
      <c r="P192">
        <v>9980</v>
      </c>
    </row>
    <row r="193" spans="1:16">
      <c r="A193">
        <v>2661</v>
      </c>
      <c r="B193">
        <v>136</v>
      </c>
      <c r="C193">
        <v>3.19</v>
      </c>
      <c r="D193">
        <v>3.4</v>
      </c>
      <c r="E193">
        <v>8.5</v>
      </c>
      <c r="F193">
        <v>110</v>
      </c>
      <c r="G193">
        <v>5500</v>
      </c>
      <c r="H193">
        <v>19</v>
      </c>
      <c r="I193">
        <v>24</v>
      </c>
      <c r="J193">
        <v>0</v>
      </c>
      <c r="K193">
        <v>0</v>
      </c>
      <c r="L193">
        <v>1</v>
      </c>
      <c r="M193">
        <v>0</v>
      </c>
      <c r="N193">
        <v>1</v>
      </c>
      <c r="O193">
        <v>0</v>
      </c>
      <c r="P193">
        <v>13295</v>
      </c>
    </row>
    <row r="194" spans="1:16">
      <c r="A194">
        <v>2579</v>
      </c>
      <c r="B194">
        <v>97</v>
      </c>
      <c r="C194">
        <v>3.01</v>
      </c>
      <c r="D194">
        <v>3.4</v>
      </c>
      <c r="E194">
        <v>23</v>
      </c>
      <c r="F194">
        <v>68</v>
      </c>
      <c r="G194">
        <v>4500</v>
      </c>
      <c r="H194">
        <v>33</v>
      </c>
      <c r="I194">
        <v>38</v>
      </c>
      <c r="J194">
        <v>1</v>
      </c>
      <c r="K194">
        <v>1</v>
      </c>
      <c r="L194">
        <v>1</v>
      </c>
      <c r="M194">
        <v>0</v>
      </c>
      <c r="N194">
        <v>1</v>
      </c>
      <c r="O194">
        <v>0</v>
      </c>
      <c r="P194">
        <v>13845</v>
      </c>
    </row>
    <row r="195" spans="1:16">
      <c r="A195">
        <v>2563</v>
      </c>
      <c r="B195">
        <v>109</v>
      </c>
      <c r="C195">
        <v>3.19</v>
      </c>
      <c r="D195">
        <v>3.4</v>
      </c>
      <c r="E195">
        <v>9</v>
      </c>
      <c r="F195">
        <v>88</v>
      </c>
      <c r="G195">
        <v>5500</v>
      </c>
      <c r="H195">
        <v>25</v>
      </c>
      <c r="I195">
        <v>31</v>
      </c>
      <c r="J195">
        <v>0</v>
      </c>
      <c r="K195">
        <v>0</v>
      </c>
      <c r="L195">
        <v>1</v>
      </c>
      <c r="M195">
        <v>0</v>
      </c>
      <c r="N195">
        <v>1</v>
      </c>
      <c r="O195">
        <v>0</v>
      </c>
      <c r="P195">
        <v>12290</v>
      </c>
    </row>
    <row r="196" spans="1:16">
      <c r="A196">
        <v>2912</v>
      </c>
      <c r="B196">
        <v>141</v>
      </c>
      <c r="C196">
        <v>3.78</v>
      </c>
      <c r="D196">
        <v>3.15</v>
      </c>
      <c r="E196">
        <v>9.5</v>
      </c>
      <c r="F196">
        <v>114</v>
      </c>
      <c r="G196">
        <v>5400</v>
      </c>
      <c r="H196">
        <v>23</v>
      </c>
      <c r="I196">
        <v>28</v>
      </c>
      <c r="J196">
        <v>0</v>
      </c>
      <c r="K196">
        <v>0</v>
      </c>
      <c r="L196">
        <v>1</v>
      </c>
      <c r="M196">
        <v>0</v>
      </c>
      <c r="N196">
        <v>0</v>
      </c>
      <c r="O196">
        <v>0</v>
      </c>
      <c r="P196">
        <v>12940</v>
      </c>
    </row>
    <row r="197" spans="1:16">
      <c r="A197">
        <v>3034</v>
      </c>
      <c r="B197">
        <v>141</v>
      </c>
      <c r="C197">
        <v>3.78</v>
      </c>
      <c r="D197">
        <v>3.15</v>
      </c>
      <c r="E197">
        <v>9.5</v>
      </c>
      <c r="F197">
        <v>114</v>
      </c>
      <c r="G197">
        <v>5400</v>
      </c>
      <c r="H197">
        <v>23</v>
      </c>
      <c r="I197">
        <v>28</v>
      </c>
      <c r="J197">
        <v>0</v>
      </c>
      <c r="K197">
        <v>0</v>
      </c>
      <c r="L197">
        <v>1</v>
      </c>
      <c r="M197">
        <v>0</v>
      </c>
      <c r="N197">
        <v>0</v>
      </c>
      <c r="O197">
        <v>0</v>
      </c>
      <c r="P197">
        <v>13415</v>
      </c>
    </row>
    <row r="198" spans="1:16">
      <c r="A198">
        <v>2935</v>
      </c>
      <c r="B198">
        <v>141</v>
      </c>
      <c r="C198">
        <v>3.78</v>
      </c>
      <c r="D198">
        <v>3.15</v>
      </c>
      <c r="E198">
        <v>9.5</v>
      </c>
      <c r="F198">
        <v>114</v>
      </c>
      <c r="G198">
        <v>5400</v>
      </c>
      <c r="H198">
        <v>24</v>
      </c>
      <c r="I198">
        <v>28</v>
      </c>
      <c r="J198">
        <v>0</v>
      </c>
      <c r="K198">
        <v>0</v>
      </c>
      <c r="L198">
        <v>1</v>
      </c>
      <c r="M198">
        <v>0</v>
      </c>
      <c r="N198">
        <v>0</v>
      </c>
      <c r="O198">
        <v>0</v>
      </c>
      <c r="P198">
        <v>15985</v>
      </c>
    </row>
    <row r="199" spans="1:16">
      <c r="A199">
        <v>3042</v>
      </c>
      <c r="B199">
        <v>141</v>
      </c>
      <c r="C199">
        <v>3.78</v>
      </c>
      <c r="D199">
        <v>3.15</v>
      </c>
      <c r="E199">
        <v>9.5</v>
      </c>
      <c r="F199">
        <v>114</v>
      </c>
      <c r="G199">
        <v>5400</v>
      </c>
      <c r="H199">
        <v>24</v>
      </c>
      <c r="I199">
        <v>28</v>
      </c>
      <c r="J199">
        <v>0</v>
      </c>
      <c r="K199">
        <v>0</v>
      </c>
      <c r="L199">
        <v>1</v>
      </c>
      <c r="M199">
        <v>0</v>
      </c>
      <c r="N199">
        <v>0</v>
      </c>
      <c r="O199">
        <v>0</v>
      </c>
      <c r="P199">
        <v>16515</v>
      </c>
    </row>
    <row r="200" spans="1:16">
      <c r="A200">
        <v>3045</v>
      </c>
      <c r="B200">
        <v>130</v>
      </c>
      <c r="C200">
        <v>3.62</v>
      </c>
      <c r="D200">
        <v>3.15</v>
      </c>
      <c r="E200">
        <v>7.5</v>
      </c>
      <c r="F200">
        <v>162</v>
      </c>
      <c r="G200">
        <v>5100</v>
      </c>
      <c r="H200">
        <v>17</v>
      </c>
      <c r="I200">
        <v>22</v>
      </c>
      <c r="J200">
        <v>0</v>
      </c>
      <c r="K200">
        <v>1</v>
      </c>
      <c r="L200">
        <v>1</v>
      </c>
      <c r="M200">
        <v>0</v>
      </c>
      <c r="N200">
        <v>0</v>
      </c>
      <c r="O200">
        <v>0</v>
      </c>
      <c r="P200">
        <v>18420</v>
      </c>
    </row>
    <row r="201" spans="1:16">
      <c r="A201">
        <v>3157</v>
      </c>
      <c r="B201">
        <v>130</v>
      </c>
      <c r="C201">
        <v>3.62</v>
      </c>
      <c r="D201">
        <v>3.15</v>
      </c>
      <c r="E201">
        <v>7.5</v>
      </c>
      <c r="F201">
        <v>162</v>
      </c>
      <c r="G201">
        <v>5100</v>
      </c>
      <c r="H201">
        <v>17</v>
      </c>
      <c r="I201">
        <v>22</v>
      </c>
      <c r="J201">
        <v>0</v>
      </c>
      <c r="K201">
        <v>1</v>
      </c>
      <c r="L201">
        <v>1</v>
      </c>
      <c r="M201">
        <v>0</v>
      </c>
      <c r="N201">
        <v>0</v>
      </c>
      <c r="O201">
        <v>0</v>
      </c>
      <c r="P201">
        <v>18950</v>
      </c>
    </row>
    <row r="202" spans="1:16">
      <c r="A202">
        <v>2952</v>
      </c>
      <c r="B202">
        <v>141</v>
      </c>
      <c r="C202">
        <v>3.78</v>
      </c>
      <c r="D202">
        <v>3.15</v>
      </c>
      <c r="E202">
        <v>9.5</v>
      </c>
      <c r="F202">
        <v>114</v>
      </c>
      <c r="G202">
        <v>5400</v>
      </c>
      <c r="H202">
        <v>23</v>
      </c>
      <c r="I202">
        <v>28</v>
      </c>
      <c r="J202">
        <v>0</v>
      </c>
      <c r="K202">
        <v>0</v>
      </c>
      <c r="L202">
        <v>1</v>
      </c>
      <c r="M202">
        <v>0</v>
      </c>
      <c r="N202">
        <v>0</v>
      </c>
      <c r="O202">
        <v>0</v>
      </c>
      <c r="P202">
        <v>16845</v>
      </c>
    </row>
    <row r="203" spans="1:16">
      <c r="A203">
        <v>3049</v>
      </c>
      <c r="B203">
        <v>141</v>
      </c>
      <c r="C203">
        <v>3.78</v>
      </c>
      <c r="D203">
        <v>3.15</v>
      </c>
      <c r="E203">
        <v>8.6999999999999993</v>
      </c>
      <c r="F203">
        <v>160</v>
      </c>
      <c r="G203">
        <v>5300</v>
      </c>
      <c r="H203">
        <v>19</v>
      </c>
      <c r="I203">
        <v>25</v>
      </c>
      <c r="J203">
        <v>0</v>
      </c>
      <c r="K203">
        <v>1</v>
      </c>
      <c r="L203">
        <v>1</v>
      </c>
      <c r="M203">
        <v>0</v>
      </c>
      <c r="N203">
        <v>0</v>
      </c>
      <c r="O203">
        <v>0</v>
      </c>
      <c r="P203">
        <v>19045</v>
      </c>
    </row>
    <row r="204" spans="1:16">
      <c r="A204">
        <v>3012</v>
      </c>
      <c r="B204">
        <v>173</v>
      </c>
      <c r="C204">
        <v>3.58</v>
      </c>
      <c r="D204">
        <v>2.87</v>
      </c>
      <c r="E204">
        <v>8.8000000000000007</v>
      </c>
      <c r="F204">
        <v>134</v>
      </c>
      <c r="G204">
        <v>5500</v>
      </c>
      <c r="H204">
        <v>18</v>
      </c>
      <c r="I204">
        <v>23</v>
      </c>
      <c r="J204">
        <v>0</v>
      </c>
      <c r="K204">
        <v>0</v>
      </c>
      <c r="L204">
        <v>1</v>
      </c>
      <c r="M204">
        <v>0</v>
      </c>
      <c r="N204">
        <v>0</v>
      </c>
      <c r="O204">
        <v>0</v>
      </c>
      <c r="P204">
        <v>21485</v>
      </c>
    </row>
    <row r="205" spans="1:16">
      <c r="A205">
        <v>3217</v>
      </c>
      <c r="B205">
        <v>145</v>
      </c>
      <c r="C205">
        <v>3.01</v>
      </c>
      <c r="D205">
        <v>3.4</v>
      </c>
      <c r="E205">
        <v>23</v>
      </c>
      <c r="F205">
        <v>106</v>
      </c>
      <c r="G205">
        <v>4800</v>
      </c>
      <c r="H205">
        <v>26</v>
      </c>
      <c r="I205">
        <v>27</v>
      </c>
      <c r="J205">
        <v>1</v>
      </c>
      <c r="K205">
        <v>1</v>
      </c>
      <c r="L205">
        <v>1</v>
      </c>
      <c r="M205">
        <v>0</v>
      </c>
      <c r="N205">
        <v>0</v>
      </c>
      <c r="O205">
        <v>0</v>
      </c>
      <c r="P205">
        <v>22470</v>
      </c>
    </row>
    <row r="206" spans="1:16">
      <c r="A206">
        <v>3062</v>
      </c>
      <c r="B206">
        <v>141</v>
      </c>
      <c r="C206">
        <v>3.78</v>
      </c>
      <c r="D206">
        <v>3.15</v>
      </c>
      <c r="E206">
        <v>9.5</v>
      </c>
      <c r="F206">
        <v>114</v>
      </c>
      <c r="G206">
        <v>5400</v>
      </c>
      <c r="H206">
        <v>19</v>
      </c>
      <c r="I206">
        <v>25</v>
      </c>
      <c r="J206">
        <v>0</v>
      </c>
      <c r="K206">
        <v>1</v>
      </c>
      <c r="L206">
        <v>1</v>
      </c>
      <c r="M206">
        <v>0</v>
      </c>
      <c r="N206">
        <v>0</v>
      </c>
      <c r="O206">
        <v>0</v>
      </c>
      <c r="P206">
        <v>22625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E860E-6183-1B41-8B58-DC069DE3A6A4}">
  <dimension ref="A1:AJ423"/>
  <sheetViews>
    <sheetView tabSelected="1" topLeftCell="A28" zoomScale="89" workbookViewId="0">
      <selection activeCell="D43" sqref="D43:F43"/>
    </sheetView>
  </sheetViews>
  <sheetFormatPr baseColWidth="10" defaultColWidth="11.33203125" defaultRowHeight="19"/>
  <cols>
    <col min="1" max="1" width="12" style="2" customWidth="1"/>
    <col min="2" max="2" width="12.6640625" style="2" customWidth="1"/>
    <col min="3" max="3" width="11.6640625" style="2" customWidth="1"/>
    <col min="4" max="4" width="11.33203125" style="2"/>
    <col min="5" max="5" width="11.6640625" style="2" customWidth="1"/>
    <col min="6" max="6" width="13" style="2" customWidth="1"/>
    <col min="7" max="7" width="12.33203125" style="2" customWidth="1"/>
    <col min="8" max="9" width="11.33203125" style="2"/>
    <col min="10" max="10" width="18.5" style="2" customWidth="1"/>
    <col min="11" max="11" width="13.5" style="2" customWidth="1"/>
    <col min="12" max="13" width="11.33203125" style="2"/>
    <col min="14" max="14" width="14.1640625" style="2" customWidth="1"/>
    <col min="15" max="15" width="14" style="2" customWidth="1"/>
    <col min="16" max="16" width="13.33203125" style="2" customWidth="1"/>
    <col min="17" max="17" width="12.1640625" style="2" customWidth="1"/>
    <col min="18" max="18" width="11.33203125" style="2"/>
    <col min="19" max="19" width="19.5" style="2" customWidth="1"/>
    <col min="20" max="20" width="14.5" style="2" customWidth="1"/>
    <col min="21" max="21" width="12" style="2" customWidth="1"/>
    <col min="22" max="22" width="11.5" style="2" customWidth="1"/>
    <col min="23" max="23" width="16.1640625" style="2" customWidth="1"/>
    <col min="24" max="16384" width="11.33203125" style="2"/>
  </cols>
  <sheetData>
    <row r="1" spans="1:34" s="5" customFormat="1" ht="49.25" customHeight="1" thickBot="1">
      <c r="A1" s="1" t="s">
        <v>34</v>
      </c>
      <c r="B1" s="1"/>
      <c r="C1" s="2"/>
      <c r="D1" s="3" t="s">
        <v>35</v>
      </c>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spans="1:34" s="5" customFormat="1" ht="20.25" customHeight="1">
      <c r="A2" s="1"/>
      <c r="B2" s="6"/>
      <c r="C2" s="7"/>
      <c r="D2" s="8"/>
      <c r="E2" s="7"/>
      <c r="F2" s="7"/>
      <c r="G2" s="7"/>
      <c r="H2" s="7"/>
      <c r="I2" s="7"/>
      <c r="J2" s="7"/>
      <c r="K2" s="7"/>
      <c r="L2" s="7"/>
      <c r="M2" s="7"/>
      <c r="N2" s="7"/>
      <c r="O2" s="7"/>
      <c r="P2" s="7"/>
      <c r="Q2" s="7"/>
      <c r="R2" s="7"/>
      <c r="S2" s="7"/>
      <c r="T2" s="7"/>
      <c r="U2" s="7"/>
      <c r="V2" s="7"/>
      <c r="W2" s="7"/>
      <c r="X2" s="7"/>
      <c r="Y2" s="7"/>
      <c r="Z2" s="7"/>
      <c r="AA2" s="7"/>
      <c r="AB2" s="7"/>
      <c r="AC2" s="9"/>
      <c r="AD2" s="10"/>
      <c r="AE2" s="10"/>
      <c r="AF2" s="10"/>
      <c r="AG2" s="10"/>
      <c r="AH2" s="10"/>
    </row>
    <row r="3" spans="1:34" s="15" customFormat="1" ht="20.25" customHeight="1">
      <c r="A3" s="11"/>
      <c r="B3" s="12"/>
      <c r="C3" s="1" t="s">
        <v>36</v>
      </c>
      <c r="D3" s="2"/>
      <c r="E3" s="13"/>
      <c r="F3" s="4"/>
      <c r="G3" s="4"/>
      <c r="H3" s="4"/>
      <c r="I3" s="4"/>
      <c r="J3" s="4"/>
      <c r="K3" s="4"/>
      <c r="L3" s="4"/>
      <c r="M3" s="4"/>
      <c r="N3" s="4"/>
      <c r="O3" s="4"/>
      <c r="P3" s="4"/>
      <c r="Q3" s="4"/>
      <c r="R3" s="4"/>
      <c r="S3" s="4"/>
      <c r="T3" s="4"/>
      <c r="U3" s="4"/>
      <c r="V3" s="4"/>
      <c r="W3" s="4"/>
      <c r="X3" s="4"/>
      <c r="Y3" s="4"/>
      <c r="Z3" s="4"/>
      <c r="AA3" s="4"/>
      <c r="AB3" s="4"/>
      <c r="AC3" s="14"/>
      <c r="AD3" s="4"/>
      <c r="AE3" s="4"/>
      <c r="AF3" s="4"/>
      <c r="AG3" s="4"/>
      <c r="AH3" s="4"/>
    </row>
    <row r="4" spans="1:34" ht="20.25" customHeight="1">
      <c r="A4" s="11"/>
      <c r="B4" s="12"/>
      <c r="C4" s="16" t="s">
        <v>37</v>
      </c>
      <c r="E4" s="4"/>
      <c r="F4" s="4"/>
      <c r="G4" s="4"/>
      <c r="H4" s="4"/>
      <c r="I4" s="4"/>
      <c r="J4" s="4"/>
      <c r="K4" s="4"/>
      <c r="L4" s="4"/>
      <c r="M4" s="4"/>
      <c r="N4" s="4"/>
      <c r="O4" s="4"/>
      <c r="P4" s="4"/>
      <c r="Q4" s="4"/>
      <c r="R4" s="4"/>
      <c r="S4" s="4"/>
      <c r="T4" s="4"/>
      <c r="U4" s="4"/>
      <c r="V4" s="4"/>
      <c r="W4" s="4"/>
      <c r="X4" s="4"/>
      <c r="Y4" s="4"/>
      <c r="Z4" s="4"/>
      <c r="AA4" s="4"/>
      <c r="AB4" s="4"/>
      <c r="AC4" s="14"/>
      <c r="AD4" s="4"/>
      <c r="AE4" s="4"/>
      <c r="AF4" s="4"/>
      <c r="AG4" s="4"/>
      <c r="AH4" s="4"/>
    </row>
    <row r="5" spans="1:34" ht="20.25" customHeight="1">
      <c r="A5" s="17"/>
      <c r="B5" s="18"/>
      <c r="C5" s="321" t="s">
        <v>38</v>
      </c>
      <c r="D5" s="322"/>
      <c r="E5" s="331" t="s">
        <v>39</v>
      </c>
      <c r="F5" s="332"/>
      <c r="G5" s="333"/>
      <c r="H5" s="144" t="s">
        <v>40</v>
      </c>
      <c r="I5" s="145"/>
      <c r="J5" s="145"/>
      <c r="K5" s="145"/>
      <c r="L5" s="145"/>
      <c r="M5" s="145"/>
      <c r="N5" s="145"/>
      <c r="O5" s="146"/>
      <c r="P5" s="19"/>
      <c r="Q5" s="19"/>
      <c r="R5" s="19"/>
      <c r="S5" s="19"/>
      <c r="T5" s="19"/>
      <c r="U5" s="19"/>
      <c r="V5" s="19"/>
      <c r="W5" s="19"/>
      <c r="X5" s="19"/>
      <c r="Y5" s="19"/>
      <c r="Z5" s="19"/>
      <c r="AA5" s="19"/>
      <c r="AB5" s="19"/>
      <c r="AC5" s="20"/>
      <c r="AD5" s="21"/>
      <c r="AE5" s="21"/>
      <c r="AF5" s="21"/>
      <c r="AG5" s="21"/>
      <c r="AH5" s="21"/>
    </row>
    <row r="6" spans="1:34" ht="20.25" customHeight="1">
      <c r="A6" s="17"/>
      <c r="B6" s="18"/>
      <c r="C6" s="323"/>
      <c r="D6" s="324"/>
      <c r="E6" s="334"/>
      <c r="F6" s="335"/>
      <c r="G6" s="336"/>
      <c r="H6" s="22" t="s">
        <v>41</v>
      </c>
      <c r="I6" s="23" t="s">
        <v>42</v>
      </c>
      <c r="J6" s="23" t="s">
        <v>43</v>
      </c>
      <c r="K6" s="24" t="s">
        <v>44</v>
      </c>
      <c r="L6" s="22" t="s">
        <v>45</v>
      </c>
      <c r="M6" s="23" t="s">
        <v>46</v>
      </c>
      <c r="N6" s="23" t="s">
        <v>47</v>
      </c>
      <c r="O6" s="25" t="s">
        <v>48</v>
      </c>
      <c r="P6" s="26"/>
      <c r="Q6" s="26"/>
      <c r="R6" s="26"/>
      <c r="S6" s="26"/>
      <c r="T6" s="26"/>
      <c r="U6" s="26"/>
      <c r="V6" s="26"/>
      <c r="W6" s="26"/>
      <c r="X6" s="26"/>
      <c r="Y6" s="26"/>
      <c r="Z6" s="26"/>
      <c r="AA6" s="26"/>
      <c r="AB6" s="26"/>
      <c r="AC6" s="27"/>
      <c r="AD6" s="28"/>
      <c r="AE6" s="28"/>
      <c r="AF6" s="28"/>
      <c r="AG6" s="28"/>
      <c r="AH6" s="28"/>
    </row>
    <row r="7" spans="1:34" ht="20.25" customHeight="1">
      <c r="A7" s="17"/>
      <c r="B7" s="18"/>
      <c r="C7" s="325" t="s">
        <v>85</v>
      </c>
      <c r="D7" s="326"/>
      <c r="E7" s="337">
        <v>1</v>
      </c>
      <c r="F7" s="338"/>
      <c r="G7" s="339"/>
      <c r="H7" s="30" t="s">
        <v>9</v>
      </c>
      <c r="I7" s="31"/>
      <c r="J7" s="32"/>
      <c r="K7" s="31"/>
      <c r="L7" s="32"/>
      <c r="M7" s="31"/>
      <c r="N7" s="33"/>
      <c r="O7" s="34"/>
      <c r="P7" s="29"/>
      <c r="Q7" s="29"/>
      <c r="R7" s="29"/>
      <c r="S7" s="29"/>
      <c r="T7" s="29"/>
      <c r="U7" s="29"/>
      <c r="V7" s="29"/>
      <c r="W7" s="29"/>
      <c r="X7" s="29"/>
      <c r="Y7" s="29"/>
      <c r="Z7" s="29"/>
      <c r="AA7" s="29"/>
      <c r="AB7" s="29"/>
      <c r="AC7" s="35"/>
      <c r="AD7" s="29"/>
      <c r="AE7" s="29"/>
      <c r="AF7" s="29"/>
      <c r="AG7" s="29"/>
      <c r="AH7" s="29"/>
    </row>
    <row r="8" spans="1:34" ht="20.25" customHeight="1">
      <c r="A8" s="17"/>
      <c r="B8" s="18"/>
      <c r="C8" s="327" t="s">
        <v>86</v>
      </c>
      <c r="D8" s="328"/>
      <c r="E8" s="340">
        <v>1</v>
      </c>
      <c r="F8" s="341"/>
      <c r="G8" s="342"/>
      <c r="H8" s="36" t="s">
        <v>8</v>
      </c>
      <c r="I8" s="37"/>
      <c r="J8" s="38"/>
      <c r="K8" s="37"/>
      <c r="L8" s="39"/>
      <c r="M8" s="40"/>
      <c r="N8" s="41"/>
      <c r="O8" s="42"/>
      <c r="P8" s="29"/>
      <c r="Q8" s="29"/>
      <c r="R8" s="29"/>
      <c r="S8" s="29"/>
      <c r="T8" s="29"/>
      <c r="U8" s="29"/>
      <c r="V8" s="29"/>
      <c r="W8" s="29"/>
      <c r="X8" s="29"/>
      <c r="Y8" s="29"/>
      <c r="Z8" s="29"/>
      <c r="AA8" s="29"/>
      <c r="AB8" s="29"/>
      <c r="AC8" s="35"/>
      <c r="AD8" s="29"/>
      <c r="AE8" s="29"/>
      <c r="AF8" s="29"/>
      <c r="AG8" s="29"/>
      <c r="AH8" s="29"/>
    </row>
    <row r="9" spans="1:34" ht="20.25" customHeight="1">
      <c r="A9" s="17"/>
      <c r="B9" s="18"/>
      <c r="C9" s="325" t="s">
        <v>87</v>
      </c>
      <c r="D9" s="326"/>
      <c r="E9" s="337">
        <v>1</v>
      </c>
      <c r="F9" s="338"/>
      <c r="G9" s="339"/>
      <c r="H9" s="30" t="s">
        <v>5</v>
      </c>
      <c r="I9" s="31"/>
      <c r="J9" s="32"/>
      <c r="K9" s="31"/>
      <c r="L9" s="43"/>
      <c r="M9" s="44"/>
      <c r="N9" s="33"/>
      <c r="O9" s="34"/>
      <c r="P9" s="29"/>
      <c r="Q9" s="29"/>
      <c r="R9" s="29"/>
      <c r="S9" s="29"/>
      <c r="T9" s="29"/>
      <c r="U9" s="29"/>
      <c r="V9" s="29"/>
      <c r="W9" s="29"/>
      <c r="X9" s="29"/>
      <c r="Y9" s="29"/>
      <c r="Z9" s="29"/>
      <c r="AA9" s="29"/>
      <c r="AB9" s="29"/>
      <c r="AC9" s="35"/>
      <c r="AD9" s="29"/>
      <c r="AE9" s="29"/>
      <c r="AF9" s="29"/>
      <c r="AG9" s="29"/>
      <c r="AH9" s="29"/>
    </row>
    <row r="10" spans="1:34" ht="20.25" customHeight="1">
      <c r="A10" s="17"/>
      <c r="B10" s="18"/>
      <c r="C10" s="327" t="s">
        <v>88</v>
      </c>
      <c r="D10" s="328"/>
      <c r="E10" s="340">
        <v>2</v>
      </c>
      <c r="F10" s="341"/>
      <c r="G10" s="342"/>
      <c r="H10" s="36" t="s">
        <v>7</v>
      </c>
      <c r="I10" s="37" t="s">
        <v>6</v>
      </c>
      <c r="J10" s="38"/>
      <c r="K10" s="37"/>
      <c r="L10" s="39"/>
      <c r="M10" s="40"/>
      <c r="N10" s="41"/>
      <c r="O10" s="42"/>
      <c r="P10" s="29"/>
      <c r="Q10" s="29"/>
      <c r="R10" s="29"/>
      <c r="S10" s="29"/>
      <c r="T10" s="29"/>
      <c r="U10" s="29"/>
      <c r="V10" s="29"/>
      <c r="W10" s="29"/>
      <c r="X10" s="29"/>
      <c r="Y10" s="29"/>
      <c r="Z10" s="29"/>
      <c r="AA10" s="29"/>
      <c r="AB10" s="29"/>
      <c r="AC10" s="35"/>
      <c r="AD10" s="29"/>
      <c r="AE10" s="29"/>
      <c r="AF10" s="29"/>
      <c r="AG10" s="29"/>
      <c r="AH10" s="29"/>
    </row>
    <row r="11" spans="1:34" ht="20.25" customHeight="1">
      <c r="A11" s="17"/>
      <c r="B11" s="18"/>
      <c r="C11" s="327" t="s">
        <v>89</v>
      </c>
      <c r="D11" s="328"/>
      <c r="E11" s="340">
        <v>1</v>
      </c>
      <c r="F11" s="341"/>
      <c r="G11" s="342"/>
      <c r="H11" s="36" t="s">
        <v>10</v>
      </c>
      <c r="I11" s="37"/>
      <c r="J11" s="38"/>
      <c r="K11" s="37"/>
      <c r="L11" s="39"/>
      <c r="M11" s="40"/>
      <c r="N11" s="41"/>
      <c r="O11" s="42"/>
      <c r="P11" s="29"/>
      <c r="Q11" s="29"/>
      <c r="R11" s="29"/>
      <c r="S11" s="29"/>
      <c r="T11" s="29"/>
      <c r="U11" s="29"/>
      <c r="V11" s="29"/>
      <c r="W11" s="29"/>
      <c r="X11" s="29"/>
      <c r="Y11" s="29"/>
      <c r="Z11" s="29"/>
      <c r="AA11" s="29"/>
      <c r="AB11" s="29"/>
      <c r="AC11" s="35"/>
      <c r="AD11" s="29"/>
      <c r="AE11" s="29"/>
      <c r="AF11" s="29"/>
      <c r="AG11" s="29"/>
      <c r="AH11" s="29"/>
    </row>
    <row r="12" spans="1:34" ht="20.25" customHeight="1">
      <c r="A12" s="11"/>
      <c r="B12" s="12"/>
      <c r="C12" s="329"/>
      <c r="D12" s="330"/>
      <c r="E12" s="343"/>
      <c r="F12" s="344"/>
      <c r="G12" s="345"/>
      <c r="H12" s="45"/>
      <c r="I12" s="46"/>
      <c r="J12" s="47"/>
      <c r="K12" s="48"/>
      <c r="L12" s="49"/>
      <c r="M12" s="46"/>
      <c r="N12" s="50"/>
      <c r="O12" s="51"/>
      <c r="AC12" s="52"/>
      <c r="AD12" s="53"/>
      <c r="AE12" s="53"/>
      <c r="AF12" s="53"/>
      <c r="AG12" s="53"/>
      <c r="AH12" s="53"/>
    </row>
    <row r="13" spans="1:34" ht="20.25" customHeight="1">
      <c r="A13" s="11"/>
      <c r="B13" s="12"/>
      <c r="C13" s="16"/>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2"/>
      <c r="AD13" s="53"/>
      <c r="AE13" s="53"/>
      <c r="AF13" s="53"/>
      <c r="AG13" s="53"/>
      <c r="AH13" s="53"/>
    </row>
    <row r="14" spans="1:34" ht="20.25" customHeight="1">
      <c r="A14" s="11"/>
      <c r="B14" s="12"/>
      <c r="AC14" s="54"/>
    </row>
    <row r="15" spans="1:34" ht="20.25" customHeight="1">
      <c r="A15" s="11"/>
      <c r="B15" s="12"/>
      <c r="C15" s="1" t="s">
        <v>49</v>
      </c>
      <c r="AC15" s="54"/>
    </row>
    <row r="16" spans="1:34" s="29" customFormat="1" ht="20.25" customHeight="1">
      <c r="A16" s="11"/>
      <c r="B16" s="12"/>
      <c r="C16" s="16" t="s">
        <v>50</v>
      </c>
      <c r="AC16" s="35"/>
    </row>
    <row r="17" spans="1:34" s="29" customFormat="1" ht="20.25" customHeight="1">
      <c r="A17" s="11"/>
      <c r="B17" s="12"/>
      <c r="C17" s="134" t="s">
        <v>51</v>
      </c>
      <c r="D17" s="135"/>
      <c r="E17" s="151"/>
      <c r="F17" s="138" t="s">
        <v>52</v>
      </c>
      <c r="G17" s="139"/>
      <c r="H17" s="140"/>
      <c r="AC17" s="35"/>
    </row>
    <row r="18" spans="1:34" ht="20.25" customHeight="1">
      <c r="A18" s="11"/>
      <c r="B18" s="12"/>
      <c r="C18" s="136"/>
      <c r="D18" s="137"/>
      <c r="E18" s="152"/>
      <c r="F18" s="141"/>
      <c r="G18" s="142"/>
      <c r="H18" s="143"/>
      <c r="AC18" s="54"/>
    </row>
    <row r="19" spans="1:34" ht="20.25" customHeight="1">
      <c r="A19" s="11"/>
      <c r="B19" s="12"/>
      <c r="C19" s="362" t="s">
        <v>5</v>
      </c>
      <c r="D19" s="363"/>
      <c r="E19" s="364"/>
      <c r="F19" s="365">
        <v>0.03</v>
      </c>
      <c r="G19" s="366"/>
      <c r="H19" s="367"/>
      <c r="AC19" s="54"/>
    </row>
    <row r="20" spans="1:34" ht="20.25" customHeight="1">
      <c r="A20" s="11"/>
      <c r="B20" s="12"/>
      <c r="C20" s="132"/>
      <c r="D20" s="133"/>
      <c r="E20" s="153"/>
      <c r="F20" s="154"/>
      <c r="G20" s="155"/>
      <c r="H20" s="156"/>
      <c r="AC20" s="54"/>
    </row>
    <row r="21" spans="1:34" ht="20.25" customHeight="1">
      <c r="A21" s="11"/>
      <c r="B21" s="12"/>
      <c r="C21" s="132"/>
      <c r="D21" s="133"/>
      <c r="E21" s="153"/>
      <c r="F21" s="154"/>
      <c r="G21" s="155"/>
      <c r="H21" s="156"/>
      <c r="AC21" s="54"/>
    </row>
    <row r="22" spans="1:34" s="29" customFormat="1" ht="20.25" customHeight="1">
      <c r="A22" s="11"/>
      <c r="B22" s="12"/>
      <c r="C22" s="132"/>
      <c r="D22" s="133"/>
      <c r="E22" s="153"/>
      <c r="F22" s="154"/>
      <c r="G22" s="155"/>
      <c r="H22" s="156"/>
      <c r="AC22" s="35"/>
    </row>
    <row r="23" spans="1:34" ht="20.25" customHeight="1">
      <c r="A23" s="11"/>
      <c r="B23" s="12"/>
      <c r="C23" s="148"/>
      <c r="D23" s="149"/>
      <c r="E23" s="150"/>
      <c r="F23" s="157"/>
      <c r="G23" s="158"/>
      <c r="H23" s="159"/>
      <c r="M23" s="55"/>
      <c r="AC23" s="54"/>
    </row>
    <row r="24" spans="1:34" ht="20.25" customHeight="1">
      <c r="A24" s="11"/>
      <c r="B24" s="12"/>
      <c r="M24" s="55"/>
      <c r="AC24" s="54"/>
    </row>
    <row r="25" spans="1:34" ht="20.25" customHeight="1">
      <c r="A25" s="11"/>
      <c r="B25" s="12"/>
      <c r="M25" s="55"/>
      <c r="AC25" s="54"/>
    </row>
    <row r="26" spans="1:34" ht="20.25" customHeight="1">
      <c r="A26" s="11"/>
      <c r="B26" s="12"/>
      <c r="C26" s="1" t="s">
        <v>53</v>
      </c>
      <c r="G26" s="29"/>
      <c r="H26" s="29"/>
      <c r="I26" s="29"/>
      <c r="J26" s="29"/>
      <c r="K26" s="29"/>
      <c r="L26" s="29"/>
      <c r="M26" s="55"/>
      <c r="N26" s="29"/>
      <c r="O26" s="29"/>
      <c r="P26" s="29"/>
      <c r="Q26" s="29"/>
      <c r="R26" s="29"/>
      <c r="S26" s="29"/>
      <c r="T26" s="29"/>
      <c r="U26" s="29"/>
      <c r="V26" s="29"/>
      <c r="W26" s="29"/>
      <c r="X26" s="29"/>
      <c r="Y26" s="29"/>
      <c r="Z26" s="29"/>
      <c r="AA26" s="29"/>
      <c r="AB26" s="29"/>
      <c r="AC26" s="35"/>
      <c r="AD26" s="29"/>
      <c r="AE26" s="29"/>
      <c r="AF26" s="29"/>
      <c r="AG26" s="29"/>
      <c r="AH26" s="29"/>
    </row>
    <row r="27" spans="1:34" ht="20.25" customHeight="1">
      <c r="A27" s="11"/>
      <c r="B27" s="12"/>
      <c r="C27" s="16" t="s">
        <v>54</v>
      </c>
      <c r="D27" s="29"/>
      <c r="E27" s="29"/>
      <c r="F27" s="29"/>
      <c r="G27" s="29"/>
      <c r="H27" s="29"/>
      <c r="I27" s="29"/>
      <c r="J27" s="29"/>
      <c r="K27" s="29"/>
      <c r="L27" s="29"/>
      <c r="M27" s="55"/>
      <c r="N27" s="29"/>
      <c r="O27" s="29"/>
      <c r="P27" s="29"/>
      <c r="Q27" s="29"/>
      <c r="R27" s="29"/>
      <c r="S27" s="29"/>
      <c r="T27" s="29"/>
      <c r="U27" s="29"/>
      <c r="V27" s="29"/>
      <c r="W27" s="29"/>
      <c r="X27" s="29"/>
      <c r="Y27" s="29"/>
      <c r="Z27" s="29"/>
      <c r="AA27" s="29"/>
      <c r="AB27" s="29"/>
      <c r="AC27" s="35"/>
      <c r="AD27" s="29"/>
      <c r="AE27" s="29"/>
      <c r="AF27" s="29"/>
      <c r="AG27" s="29"/>
      <c r="AH27" s="29"/>
    </row>
    <row r="28" spans="1:34" ht="20.25" customHeight="1">
      <c r="A28" s="11"/>
      <c r="B28" s="12"/>
      <c r="C28" s="16" t="s">
        <v>55</v>
      </c>
      <c r="D28" s="29"/>
      <c r="E28" s="29"/>
      <c r="F28" s="29"/>
      <c r="G28" s="29"/>
      <c r="H28" s="29"/>
      <c r="I28" s="29"/>
      <c r="J28" s="29"/>
      <c r="K28" s="29"/>
      <c r="L28" s="29"/>
      <c r="M28" s="55"/>
      <c r="N28" s="29"/>
      <c r="O28" s="29"/>
      <c r="P28" s="29"/>
      <c r="Q28" s="29"/>
      <c r="R28" s="29"/>
      <c r="S28" s="29"/>
      <c r="T28" s="29"/>
      <c r="U28" s="29"/>
      <c r="V28" s="29"/>
      <c r="W28" s="29"/>
      <c r="X28" s="29"/>
      <c r="Y28" s="29"/>
      <c r="Z28" s="29"/>
      <c r="AA28" s="29"/>
      <c r="AB28" s="29"/>
      <c r="AC28" s="35"/>
      <c r="AD28" s="29"/>
      <c r="AE28" s="29"/>
      <c r="AF28" s="29"/>
      <c r="AG28" s="29"/>
      <c r="AH28" s="29"/>
    </row>
    <row r="29" spans="1:34" ht="20.25" customHeight="1">
      <c r="A29" s="11"/>
      <c r="B29" s="12"/>
      <c r="C29" s="16" t="s">
        <v>56</v>
      </c>
      <c r="D29" s="29"/>
      <c r="E29" s="29"/>
      <c r="F29" s="29"/>
      <c r="G29" s="29"/>
      <c r="H29" s="29"/>
      <c r="I29" s="29"/>
      <c r="J29" s="29"/>
      <c r="K29" s="29"/>
      <c r="L29" s="29"/>
      <c r="M29" s="55"/>
      <c r="N29" s="29"/>
      <c r="O29" s="29"/>
      <c r="P29" s="29"/>
      <c r="Q29" s="29"/>
      <c r="R29" s="29"/>
      <c r="S29" s="29"/>
      <c r="T29" s="29"/>
      <c r="U29" s="29"/>
      <c r="V29" s="29"/>
      <c r="W29" s="29"/>
      <c r="X29" s="29"/>
      <c r="Y29" s="29"/>
      <c r="Z29" s="29"/>
      <c r="AA29" s="29"/>
      <c r="AB29" s="29"/>
      <c r="AC29" s="35"/>
      <c r="AD29" s="29"/>
      <c r="AE29" s="29"/>
      <c r="AF29" s="29"/>
      <c r="AG29" s="29"/>
      <c r="AH29" s="29"/>
    </row>
    <row r="30" spans="1:34" ht="20.25" customHeight="1">
      <c r="A30" s="11"/>
      <c r="B30" s="12"/>
      <c r="C30" s="160" t="s">
        <v>57</v>
      </c>
      <c r="D30" s="161"/>
      <c r="E30" s="161"/>
      <c r="F30" s="161"/>
      <c r="G30" s="164" t="s">
        <v>58</v>
      </c>
      <c r="H30" s="165"/>
      <c r="I30" s="165"/>
      <c r="J30" s="164" t="s">
        <v>59</v>
      </c>
      <c r="K30" s="165"/>
      <c r="L30" s="168"/>
      <c r="M30" s="346" t="s">
        <v>60</v>
      </c>
      <c r="N30" s="347"/>
      <c r="O30" s="347"/>
      <c r="P30" s="348"/>
      <c r="Q30" s="56"/>
      <c r="R30" s="56"/>
      <c r="S30" s="56"/>
      <c r="T30" s="56"/>
      <c r="U30" s="56"/>
      <c r="V30" s="56"/>
      <c r="W30" s="56"/>
      <c r="X30" s="56"/>
      <c r="Y30" s="56"/>
      <c r="Z30" s="56"/>
      <c r="AA30" s="56"/>
      <c r="AB30" s="56"/>
      <c r="AC30" s="35"/>
      <c r="AD30" s="29"/>
      <c r="AE30" s="29"/>
      <c r="AF30" s="29"/>
      <c r="AG30" s="29"/>
      <c r="AH30" s="29"/>
    </row>
    <row r="31" spans="1:34" ht="20.25" customHeight="1">
      <c r="A31" s="11"/>
      <c r="B31" s="12"/>
      <c r="C31" s="162"/>
      <c r="D31" s="163"/>
      <c r="E31" s="163"/>
      <c r="F31" s="163"/>
      <c r="G31" s="166"/>
      <c r="H31" s="167"/>
      <c r="I31" s="167"/>
      <c r="J31" s="166"/>
      <c r="K31" s="167"/>
      <c r="L31" s="169"/>
      <c r="M31" s="349"/>
      <c r="N31" s="350"/>
      <c r="O31" s="350"/>
      <c r="P31" s="351"/>
      <c r="Q31" s="56"/>
      <c r="R31" s="56"/>
      <c r="S31" s="56"/>
      <c r="T31" s="56"/>
      <c r="U31" s="56"/>
      <c r="V31" s="56"/>
      <c r="W31" s="56"/>
      <c r="X31" s="56"/>
      <c r="Y31" s="56"/>
      <c r="Z31" s="56"/>
      <c r="AA31" s="56"/>
      <c r="AB31" s="56"/>
      <c r="AC31" s="54"/>
    </row>
    <row r="32" spans="1:34" ht="20.25" customHeight="1">
      <c r="A32" s="11"/>
      <c r="B32" s="12"/>
      <c r="C32" s="170" t="s">
        <v>61</v>
      </c>
      <c r="D32" s="172" t="s">
        <v>71</v>
      </c>
      <c r="E32" s="173"/>
      <c r="F32" s="174"/>
      <c r="G32" s="175">
        <v>0.87</v>
      </c>
      <c r="H32" s="176"/>
      <c r="I32" s="176"/>
      <c r="J32" s="179">
        <v>0.57999999999999996</v>
      </c>
      <c r="K32" s="173"/>
      <c r="L32" s="174"/>
      <c r="M32" s="352" t="s">
        <v>71</v>
      </c>
      <c r="N32" s="353"/>
      <c r="O32" s="353"/>
      <c r="P32" s="354"/>
      <c r="Q32" s="15"/>
      <c r="R32" s="15"/>
      <c r="S32" s="15"/>
      <c r="T32" s="15"/>
      <c r="U32" s="15"/>
      <c r="V32" s="15"/>
      <c r="W32" s="15"/>
      <c r="X32" s="15"/>
      <c r="Y32" s="15"/>
      <c r="Z32" s="15"/>
      <c r="AA32" s="15"/>
      <c r="AB32" s="15"/>
      <c r="AC32" s="54"/>
    </row>
    <row r="33" spans="1:29" ht="20.25" customHeight="1">
      <c r="A33" s="11"/>
      <c r="B33" s="12"/>
      <c r="C33" s="171"/>
      <c r="D33" s="180" t="s">
        <v>72</v>
      </c>
      <c r="E33" s="149"/>
      <c r="F33" s="150"/>
      <c r="G33" s="177"/>
      <c r="H33" s="178"/>
      <c r="I33" s="178"/>
      <c r="J33" s="147">
        <v>0.68</v>
      </c>
      <c r="K33" s="149"/>
      <c r="L33" s="150"/>
      <c r="M33" s="355"/>
      <c r="N33" s="356"/>
      <c r="O33" s="356"/>
      <c r="P33" s="357"/>
      <c r="Q33" s="15"/>
      <c r="R33" s="15"/>
      <c r="S33" s="15"/>
      <c r="T33" s="15"/>
      <c r="U33" s="15"/>
      <c r="V33" s="15"/>
      <c r="W33" s="15"/>
      <c r="X33" s="15"/>
      <c r="Y33" s="15"/>
      <c r="Z33" s="15"/>
      <c r="AA33" s="15"/>
      <c r="AB33" s="15"/>
      <c r="AC33" s="54"/>
    </row>
    <row r="34" spans="1:29" ht="20.25" customHeight="1">
      <c r="A34" s="11"/>
      <c r="B34" s="12"/>
      <c r="C34" s="170" t="s">
        <v>62</v>
      </c>
      <c r="D34" s="172" t="s">
        <v>71</v>
      </c>
      <c r="E34" s="173"/>
      <c r="F34" s="174"/>
      <c r="G34" s="175">
        <v>0.8</v>
      </c>
      <c r="H34" s="176"/>
      <c r="I34" s="176"/>
      <c r="J34" s="179">
        <v>0.57999999999999996</v>
      </c>
      <c r="K34" s="173"/>
      <c r="L34" s="174"/>
      <c r="M34" s="352" t="s">
        <v>71</v>
      </c>
      <c r="N34" s="353"/>
      <c r="O34" s="353"/>
      <c r="P34" s="354"/>
      <c r="Q34" s="15"/>
      <c r="R34" s="15"/>
      <c r="S34" s="15"/>
      <c r="T34" s="15"/>
      <c r="U34" s="15"/>
      <c r="V34" s="15"/>
      <c r="W34" s="15"/>
      <c r="X34" s="15"/>
      <c r="Y34" s="15"/>
      <c r="Z34" s="15"/>
      <c r="AA34" s="15"/>
      <c r="AB34" s="15"/>
      <c r="AC34" s="54"/>
    </row>
    <row r="35" spans="1:29" ht="20.25" customHeight="1">
      <c r="A35" s="11"/>
      <c r="B35" s="12"/>
      <c r="C35" s="171"/>
      <c r="D35" s="180" t="s">
        <v>73</v>
      </c>
      <c r="E35" s="149"/>
      <c r="F35" s="150"/>
      <c r="G35" s="177"/>
      <c r="H35" s="178"/>
      <c r="I35" s="178"/>
      <c r="J35" s="147">
        <v>0.76</v>
      </c>
      <c r="K35" s="149"/>
      <c r="L35" s="150"/>
      <c r="M35" s="355"/>
      <c r="N35" s="356"/>
      <c r="O35" s="356"/>
      <c r="P35" s="357"/>
      <c r="Q35" s="15"/>
      <c r="R35" s="15"/>
      <c r="S35" s="15"/>
      <c r="T35" s="15"/>
      <c r="U35" s="15"/>
      <c r="V35" s="15"/>
      <c r="W35" s="15"/>
      <c r="X35" s="15"/>
      <c r="Y35" s="15"/>
      <c r="Z35" s="15"/>
      <c r="AA35" s="15"/>
      <c r="AB35" s="15"/>
      <c r="AC35" s="54"/>
    </row>
    <row r="36" spans="1:29" ht="20.25" customHeight="1">
      <c r="A36" s="11"/>
      <c r="B36" s="12"/>
      <c r="C36" s="170" t="s">
        <v>63</v>
      </c>
      <c r="D36" s="172" t="s">
        <v>71</v>
      </c>
      <c r="E36" s="173"/>
      <c r="F36" s="174"/>
      <c r="G36" s="175">
        <v>0.78</v>
      </c>
      <c r="H36" s="176"/>
      <c r="I36" s="176"/>
      <c r="J36" s="179">
        <v>0.57999999999999996</v>
      </c>
      <c r="K36" s="173"/>
      <c r="L36" s="174"/>
      <c r="M36" s="352" t="s">
        <v>71</v>
      </c>
      <c r="N36" s="353"/>
      <c r="O36" s="353"/>
      <c r="P36" s="354"/>
      <c r="Q36" s="15"/>
      <c r="R36" s="15"/>
      <c r="S36" s="15"/>
      <c r="T36" s="15"/>
      <c r="U36" s="15"/>
      <c r="V36" s="15"/>
      <c r="W36" s="15"/>
      <c r="X36" s="15"/>
      <c r="Y36" s="15"/>
      <c r="Z36" s="15"/>
      <c r="AA36" s="15"/>
      <c r="AB36" s="15"/>
      <c r="AC36" s="54"/>
    </row>
    <row r="37" spans="1:29" ht="20.25" customHeight="1">
      <c r="A37" s="11"/>
      <c r="B37" s="12"/>
      <c r="C37" s="171"/>
      <c r="D37" s="180" t="s">
        <v>75</v>
      </c>
      <c r="E37" s="149"/>
      <c r="F37" s="150"/>
      <c r="G37" s="177"/>
      <c r="H37" s="178"/>
      <c r="I37" s="178"/>
      <c r="J37" s="147">
        <v>0.84</v>
      </c>
      <c r="K37" s="149"/>
      <c r="L37" s="150"/>
      <c r="M37" s="355"/>
      <c r="N37" s="356"/>
      <c r="O37" s="356"/>
      <c r="P37" s="357"/>
      <c r="Q37" s="15"/>
      <c r="R37" s="15"/>
      <c r="S37" s="15"/>
      <c r="T37" s="15"/>
      <c r="U37" s="15"/>
      <c r="V37" s="15"/>
      <c r="W37" s="15"/>
      <c r="X37" s="15"/>
      <c r="Y37" s="15"/>
      <c r="Z37" s="15"/>
      <c r="AA37" s="15"/>
      <c r="AB37" s="15"/>
      <c r="AC37" s="54"/>
    </row>
    <row r="38" spans="1:29" ht="20.25" customHeight="1">
      <c r="A38" s="11"/>
      <c r="B38" s="12"/>
      <c r="C38" s="170" t="s">
        <v>91</v>
      </c>
      <c r="D38" s="172" t="s">
        <v>72</v>
      </c>
      <c r="E38" s="173"/>
      <c r="F38" s="174"/>
      <c r="G38" s="175">
        <v>0.84</v>
      </c>
      <c r="H38" s="176"/>
      <c r="I38" s="176"/>
      <c r="J38" s="179">
        <v>0.68</v>
      </c>
      <c r="K38" s="173"/>
      <c r="L38" s="174"/>
      <c r="M38" s="352" t="s">
        <v>72</v>
      </c>
      <c r="N38" s="353"/>
      <c r="O38" s="353"/>
      <c r="P38" s="354"/>
      <c r="Q38" s="15"/>
      <c r="R38" s="15"/>
      <c r="S38" s="15"/>
      <c r="T38" s="15"/>
      <c r="U38" s="15"/>
      <c r="V38" s="15"/>
      <c r="W38" s="15"/>
      <c r="X38" s="15"/>
      <c r="Y38" s="15"/>
      <c r="Z38" s="15"/>
      <c r="AA38" s="15"/>
      <c r="AB38" s="15"/>
      <c r="AC38" s="54"/>
    </row>
    <row r="39" spans="1:29" ht="20.25" customHeight="1">
      <c r="A39" s="11"/>
      <c r="B39" s="12"/>
      <c r="C39" s="171"/>
      <c r="D39" s="180" t="s">
        <v>73</v>
      </c>
      <c r="E39" s="149"/>
      <c r="F39" s="150"/>
      <c r="G39" s="177"/>
      <c r="H39" s="178"/>
      <c r="I39" s="178"/>
      <c r="J39" s="147">
        <v>0.76</v>
      </c>
      <c r="K39" s="149"/>
      <c r="L39" s="150"/>
      <c r="M39" s="355"/>
      <c r="N39" s="356"/>
      <c r="O39" s="356"/>
      <c r="P39" s="357"/>
      <c r="Q39" s="15"/>
      <c r="R39" s="15"/>
      <c r="S39" s="15"/>
      <c r="T39" s="15"/>
      <c r="U39" s="15"/>
      <c r="V39" s="15"/>
      <c r="W39" s="15"/>
      <c r="X39" s="15"/>
      <c r="Y39" s="15"/>
      <c r="Z39" s="15"/>
      <c r="AA39" s="15"/>
      <c r="AB39" s="15"/>
      <c r="AC39" s="54"/>
    </row>
    <row r="40" spans="1:29" ht="20.25" customHeight="1">
      <c r="A40" s="11"/>
      <c r="B40" s="12"/>
      <c r="C40" s="170" t="s">
        <v>92</v>
      </c>
      <c r="D40" s="172" t="s">
        <v>72</v>
      </c>
      <c r="E40" s="173"/>
      <c r="F40" s="174"/>
      <c r="G40" s="175">
        <v>0.88</v>
      </c>
      <c r="H40" s="176"/>
      <c r="I40" s="176"/>
      <c r="J40" s="179">
        <v>0.68</v>
      </c>
      <c r="K40" s="173"/>
      <c r="L40" s="174"/>
      <c r="M40" s="352" t="s">
        <v>72</v>
      </c>
      <c r="N40" s="353"/>
      <c r="O40" s="353"/>
      <c r="P40" s="354"/>
      <c r="Q40" s="15"/>
      <c r="R40" s="15"/>
      <c r="S40" s="15"/>
      <c r="T40" s="15"/>
      <c r="U40" s="15"/>
      <c r="V40" s="15"/>
      <c r="W40" s="15"/>
      <c r="X40" s="15"/>
      <c r="Y40" s="15"/>
      <c r="Z40" s="15"/>
      <c r="AA40" s="15"/>
      <c r="AB40" s="15"/>
      <c r="AC40" s="54"/>
    </row>
    <row r="41" spans="1:29" ht="20.25" customHeight="1">
      <c r="A41" s="11"/>
      <c r="B41" s="12"/>
      <c r="C41" s="171"/>
      <c r="D41" s="180" t="s">
        <v>75</v>
      </c>
      <c r="E41" s="149"/>
      <c r="F41" s="150"/>
      <c r="G41" s="177"/>
      <c r="H41" s="178"/>
      <c r="I41" s="178"/>
      <c r="J41" s="147">
        <v>0.84</v>
      </c>
      <c r="K41" s="149"/>
      <c r="L41" s="150"/>
      <c r="M41" s="355"/>
      <c r="N41" s="356"/>
      <c r="O41" s="356"/>
      <c r="P41" s="357"/>
      <c r="Q41" s="15"/>
      <c r="R41" s="15"/>
      <c r="S41" s="15"/>
      <c r="T41" s="15"/>
      <c r="U41" s="15"/>
      <c r="V41" s="15"/>
      <c r="W41" s="15"/>
      <c r="X41" s="15"/>
      <c r="Y41" s="15"/>
      <c r="Z41" s="15"/>
      <c r="AA41" s="15"/>
      <c r="AB41" s="15"/>
      <c r="AC41" s="54"/>
    </row>
    <row r="42" spans="1:29" ht="20.25" customHeight="1">
      <c r="A42" s="11"/>
      <c r="B42" s="12"/>
      <c r="C42" s="181" t="s">
        <v>93</v>
      </c>
      <c r="D42" s="172" t="s">
        <v>72</v>
      </c>
      <c r="E42" s="173"/>
      <c r="F42" s="174"/>
      <c r="G42" s="182">
        <v>0.7</v>
      </c>
      <c r="H42" s="183"/>
      <c r="I42" s="183"/>
      <c r="J42" s="179">
        <v>0.68</v>
      </c>
      <c r="K42" s="173"/>
      <c r="L42" s="174"/>
      <c r="M42" s="358" t="s">
        <v>72</v>
      </c>
      <c r="N42" s="359"/>
      <c r="O42" s="359"/>
      <c r="P42" s="360"/>
      <c r="Q42" s="15"/>
      <c r="R42" s="15"/>
      <c r="S42" s="15"/>
      <c r="T42" s="15"/>
      <c r="U42" s="15"/>
      <c r="V42" s="15"/>
      <c r="W42" s="15"/>
      <c r="X42" s="15"/>
      <c r="Y42" s="15"/>
      <c r="Z42" s="15"/>
      <c r="AA42" s="15"/>
      <c r="AB42" s="15"/>
      <c r="AC42" s="54"/>
    </row>
    <row r="43" spans="1:29" ht="20.25" customHeight="1">
      <c r="A43" s="11"/>
      <c r="B43" s="12"/>
      <c r="C43" s="171"/>
      <c r="D43" s="180" t="s">
        <v>83</v>
      </c>
      <c r="E43" s="149"/>
      <c r="F43" s="150"/>
      <c r="G43" s="177"/>
      <c r="H43" s="178"/>
      <c r="I43" s="178"/>
      <c r="J43" s="147">
        <v>-0.7</v>
      </c>
      <c r="K43" s="149"/>
      <c r="L43" s="150"/>
      <c r="M43" s="355"/>
      <c r="N43" s="356"/>
      <c r="O43" s="356"/>
      <c r="P43" s="357"/>
      <c r="Q43" s="15"/>
      <c r="R43" s="15"/>
      <c r="S43" s="15"/>
      <c r="T43" s="15"/>
      <c r="U43" s="15"/>
      <c r="V43" s="15"/>
      <c r="W43" s="15"/>
      <c r="X43" s="15"/>
      <c r="Y43" s="15"/>
      <c r="Z43" s="15"/>
      <c r="AA43" s="15"/>
      <c r="AB43" s="15"/>
      <c r="AC43" s="54"/>
    </row>
    <row r="44" spans="1:29" ht="20.25" customHeight="1">
      <c r="A44" s="11"/>
      <c r="B44" s="12"/>
      <c r="C44" s="181" t="s">
        <v>114</v>
      </c>
      <c r="D44" s="172" t="s">
        <v>73</v>
      </c>
      <c r="E44" s="173"/>
      <c r="F44" s="174"/>
      <c r="G44" s="184">
        <v>0.87</v>
      </c>
      <c r="H44" s="183"/>
      <c r="I44" s="183"/>
      <c r="J44" s="185">
        <v>0.76</v>
      </c>
      <c r="K44" s="173"/>
      <c r="L44" s="174"/>
      <c r="M44" s="361" t="s">
        <v>73</v>
      </c>
      <c r="N44" s="359"/>
      <c r="O44" s="359"/>
      <c r="P44" s="360"/>
      <c r="Q44" s="15"/>
      <c r="R44" s="15"/>
      <c r="S44" s="15"/>
      <c r="T44" s="15"/>
      <c r="U44" s="15"/>
      <c r="V44" s="15"/>
      <c r="W44" s="15"/>
      <c r="X44" s="15"/>
      <c r="Y44" s="15"/>
      <c r="Z44" s="15"/>
      <c r="AA44" s="15"/>
      <c r="AB44" s="15"/>
      <c r="AC44" s="54"/>
    </row>
    <row r="45" spans="1:29" ht="20.25" customHeight="1">
      <c r="A45" s="11"/>
      <c r="B45" s="12"/>
      <c r="C45" s="171"/>
      <c r="D45" s="180" t="s">
        <v>75</v>
      </c>
      <c r="E45" s="149"/>
      <c r="F45" s="150"/>
      <c r="G45" s="177"/>
      <c r="H45" s="178"/>
      <c r="I45" s="178"/>
      <c r="J45" s="206">
        <v>0.83530487933729647</v>
      </c>
      <c r="K45" s="207"/>
      <c r="L45" s="208"/>
      <c r="M45" s="355"/>
      <c r="N45" s="356"/>
      <c r="O45" s="356"/>
      <c r="P45" s="357"/>
      <c r="Q45" s="15"/>
      <c r="R45" s="15"/>
      <c r="S45" s="15"/>
      <c r="T45" s="15"/>
      <c r="U45" s="15"/>
      <c r="V45" s="15"/>
      <c r="W45" s="15"/>
      <c r="X45" s="15"/>
      <c r="Y45" s="15"/>
      <c r="Z45" s="15"/>
      <c r="AA45" s="15"/>
      <c r="AB45" s="15"/>
      <c r="AC45" s="54"/>
    </row>
    <row r="46" spans="1:29" ht="20.25" customHeight="1">
      <c r="A46" s="11"/>
      <c r="B46" s="12"/>
      <c r="C46" s="181" t="s">
        <v>223</v>
      </c>
      <c r="D46" s="172" t="s">
        <v>73</v>
      </c>
      <c r="E46" s="173"/>
      <c r="F46" s="174"/>
      <c r="G46" s="184">
        <v>0.74</v>
      </c>
      <c r="H46" s="183"/>
      <c r="I46" s="183"/>
      <c r="J46" s="185">
        <v>0.76</v>
      </c>
      <c r="K46" s="173"/>
      <c r="L46" s="174"/>
      <c r="M46" s="361" t="s">
        <v>73</v>
      </c>
      <c r="N46" s="359"/>
      <c r="O46" s="359"/>
      <c r="P46" s="360"/>
      <c r="Q46" s="15"/>
      <c r="R46" s="15"/>
      <c r="S46" s="15"/>
      <c r="T46" s="15"/>
      <c r="U46" s="15"/>
      <c r="V46" s="15"/>
      <c r="W46" s="15"/>
      <c r="X46" s="15"/>
      <c r="Y46" s="15"/>
      <c r="Z46" s="15"/>
      <c r="AA46" s="15"/>
      <c r="AB46" s="15"/>
      <c r="AC46" s="54"/>
    </row>
    <row r="47" spans="1:29" ht="20.25" customHeight="1">
      <c r="A47" s="11"/>
      <c r="B47" s="12"/>
      <c r="C47" s="171"/>
      <c r="D47" s="180" t="s">
        <v>76</v>
      </c>
      <c r="E47" s="149"/>
      <c r="F47" s="150"/>
      <c r="G47" s="177"/>
      <c r="H47" s="178"/>
      <c r="I47" s="178"/>
      <c r="J47" s="206">
        <v>0.87414480252451143</v>
      </c>
      <c r="K47" s="207"/>
      <c r="L47" s="208"/>
      <c r="M47" s="355"/>
      <c r="N47" s="356"/>
      <c r="O47" s="356"/>
      <c r="P47" s="357"/>
      <c r="Q47" s="15"/>
      <c r="R47" s="15"/>
      <c r="S47" s="15"/>
      <c r="T47" s="15"/>
      <c r="U47" s="15"/>
      <c r="V47" s="15"/>
      <c r="W47" s="15"/>
      <c r="X47" s="15"/>
      <c r="Y47" s="15"/>
      <c r="Z47" s="15"/>
      <c r="AA47" s="15"/>
      <c r="AB47" s="15"/>
      <c r="AC47" s="54"/>
    </row>
    <row r="48" spans="1:29" ht="20.25" customHeight="1">
      <c r="A48" s="11"/>
      <c r="B48" s="12"/>
      <c r="C48" s="181" t="s">
        <v>222</v>
      </c>
      <c r="D48" s="172" t="s">
        <v>75</v>
      </c>
      <c r="E48" s="173"/>
      <c r="F48" s="174"/>
      <c r="G48" s="184">
        <v>0.85</v>
      </c>
      <c r="H48" s="183"/>
      <c r="I48" s="183"/>
      <c r="J48" s="209">
        <v>0.83530487933729647</v>
      </c>
      <c r="K48" s="210"/>
      <c r="L48" s="211"/>
      <c r="M48" s="361" t="s">
        <v>75</v>
      </c>
      <c r="N48" s="359"/>
      <c r="O48" s="359"/>
      <c r="P48" s="360"/>
      <c r="Q48" s="15"/>
      <c r="R48" s="15"/>
      <c r="S48" s="15"/>
      <c r="T48" s="15"/>
      <c r="U48" s="15"/>
      <c r="V48" s="15"/>
      <c r="W48" s="15"/>
      <c r="X48" s="15"/>
      <c r="Y48" s="15"/>
      <c r="Z48" s="15"/>
      <c r="AA48" s="15"/>
      <c r="AB48" s="15"/>
      <c r="AC48" s="54"/>
    </row>
    <row r="49" spans="1:29" ht="20.25" customHeight="1">
      <c r="A49" s="11"/>
      <c r="B49" s="12"/>
      <c r="C49" s="171"/>
      <c r="D49" s="180" t="s">
        <v>76</v>
      </c>
      <c r="E49" s="149"/>
      <c r="F49" s="150"/>
      <c r="G49" s="177"/>
      <c r="H49" s="178"/>
      <c r="I49" s="178"/>
      <c r="J49" s="206">
        <v>0.87414480252451143</v>
      </c>
      <c r="K49" s="207"/>
      <c r="L49" s="208"/>
      <c r="M49" s="355"/>
      <c r="N49" s="356"/>
      <c r="O49" s="356"/>
      <c r="P49" s="357"/>
      <c r="Q49" s="15"/>
      <c r="R49" s="15"/>
      <c r="S49" s="15"/>
      <c r="T49" s="15"/>
      <c r="U49" s="15"/>
      <c r="V49" s="15"/>
      <c r="W49" s="15"/>
      <c r="X49" s="15"/>
      <c r="Y49" s="15"/>
      <c r="Z49" s="15"/>
      <c r="AA49" s="15"/>
      <c r="AB49" s="15"/>
      <c r="AC49" s="54"/>
    </row>
    <row r="50" spans="1:29" ht="20.25" customHeight="1">
      <c r="A50" s="11"/>
      <c r="B50" s="12"/>
      <c r="C50" s="181" t="s">
        <v>219</v>
      </c>
      <c r="D50" s="172" t="s">
        <v>75</v>
      </c>
      <c r="E50" s="173"/>
      <c r="F50" s="174"/>
      <c r="G50" s="184">
        <v>0.75</v>
      </c>
      <c r="H50" s="183"/>
      <c r="I50" s="183"/>
      <c r="J50" s="209">
        <v>0.83530487933729647</v>
      </c>
      <c r="K50" s="210"/>
      <c r="L50" s="211"/>
      <c r="M50" s="361" t="s">
        <v>80</v>
      </c>
      <c r="N50" s="359"/>
      <c r="O50" s="359"/>
      <c r="P50" s="360"/>
      <c r="Q50" s="15"/>
      <c r="R50" s="15"/>
      <c r="S50" s="15"/>
      <c r="T50" s="15"/>
      <c r="U50" s="15"/>
      <c r="V50" s="15"/>
      <c r="W50" s="15"/>
      <c r="X50" s="15"/>
      <c r="Y50" s="15"/>
      <c r="Z50" s="15"/>
      <c r="AA50" s="15"/>
      <c r="AB50" s="15"/>
      <c r="AC50" s="54"/>
    </row>
    <row r="51" spans="1:29" ht="20.25" customHeight="1">
      <c r="A51" s="11"/>
      <c r="B51" s="12"/>
      <c r="C51" s="171"/>
      <c r="D51" s="180" t="s">
        <v>80</v>
      </c>
      <c r="E51" s="149"/>
      <c r="F51" s="150"/>
      <c r="G51" s="177"/>
      <c r="H51" s="178"/>
      <c r="I51" s="178"/>
      <c r="J51" s="148">
        <v>0.81</v>
      </c>
      <c r="K51" s="149"/>
      <c r="L51" s="150"/>
      <c r="M51" s="355"/>
      <c r="N51" s="356"/>
      <c r="O51" s="356"/>
      <c r="P51" s="357"/>
      <c r="Q51" s="15"/>
      <c r="R51" s="15"/>
      <c r="S51" s="15"/>
      <c r="T51" s="15"/>
      <c r="U51" s="15"/>
      <c r="V51" s="15"/>
      <c r="W51" s="15"/>
      <c r="X51" s="15"/>
      <c r="Y51" s="15"/>
      <c r="Z51" s="15"/>
      <c r="AA51" s="15"/>
      <c r="AB51" s="15"/>
      <c r="AC51" s="54"/>
    </row>
    <row r="52" spans="1:29" ht="20.25" customHeight="1">
      <c r="A52" s="11"/>
      <c r="B52" s="12"/>
      <c r="C52" s="181" t="s">
        <v>220</v>
      </c>
      <c r="D52" s="172" t="s">
        <v>75</v>
      </c>
      <c r="E52" s="173"/>
      <c r="F52" s="174"/>
      <c r="G52" s="184">
        <v>-0.76</v>
      </c>
      <c r="H52" s="183"/>
      <c r="I52" s="183"/>
      <c r="J52" s="209">
        <v>0.83530487933729647</v>
      </c>
      <c r="K52" s="210"/>
      <c r="L52" s="211"/>
      <c r="M52" s="361" t="s">
        <v>82</v>
      </c>
      <c r="N52" s="359"/>
      <c r="O52" s="359"/>
      <c r="P52" s="360"/>
      <c r="Q52" s="15"/>
      <c r="R52" s="15"/>
      <c r="S52" s="15"/>
      <c r="T52" s="15"/>
      <c r="U52" s="15"/>
      <c r="V52" s="15"/>
      <c r="W52" s="15"/>
      <c r="X52" s="15"/>
      <c r="Y52" s="15"/>
      <c r="Z52" s="15"/>
      <c r="AA52" s="15"/>
      <c r="AB52" s="15"/>
      <c r="AC52" s="54"/>
    </row>
    <row r="53" spans="1:29" ht="20.25" customHeight="1">
      <c r="A53" s="11"/>
      <c r="B53" s="12"/>
      <c r="C53" s="171"/>
      <c r="D53" s="180" t="s">
        <v>82</v>
      </c>
      <c r="E53" s="149"/>
      <c r="F53" s="150"/>
      <c r="G53" s="177"/>
      <c r="H53" s="178"/>
      <c r="I53" s="178"/>
      <c r="J53" s="206">
        <v>-0.68575133602704008</v>
      </c>
      <c r="K53" s="207"/>
      <c r="L53" s="208"/>
      <c r="M53" s="355"/>
      <c r="N53" s="356"/>
      <c r="O53" s="356"/>
      <c r="P53" s="357"/>
      <c r="Q53" s="15"/>
      <c r="R53" s="15"/>
      <c r="S53" s="15"/>
      <c r="T53" s="15"/>
      <c r="U53" s="15"/>
      <c r="V53" s="15"/>
      <c r="W53" s="15"/>
      <c r="X53" s="15"/>
      <c r="Y53" s="15"/>
      <c r="Z53" s="15"/>
      <c r="AA53" s="15"/>
      <c r="AB53" s="15"/>
      <c r="AC53" s="54"/>
    </row>
    <row r="54" spans="1:29" ht="20.25" customHeight="1">
      <c r="A54" s="11"/>
      <c r="B54" s="12"/>
      <c r="C54" s="181" t="s">
        <v>224</v>
      </c>
      <c r="D54" s="172" t="s">
        <v>75</v>
      </c>
      <c r="E54" s="173"/>
      <c r="F54" s="174"/>
      <c r="G54" s="202">
        <v>-0.8</v>
      </c>
      <c r="H54" s="203"/>
      <c r="I54" s="203"/>
      <c r="J54" s="209">
        <v>0.83530487933729647</v>
      </c>
      <c r="K54" s="210"/>
      <c r="L54" s="211"/>
      <c r="M54" s="361" t="s">
        <v>83</v>
      </c>
      <c r="N54" s="359"/>
      <c r="O54" s="359"/>
      <c r="P54" s="360"/>
      <c r="Q54" s="15"/>
      <c r="R54" s="15"/>
      <c r="S54" s="15"/>
      <c r="T54" s="15"/>
      <c r="U54" s="15"/>
      <c r="V54" s="15"/>
      <c r="W54" s="15"/>
      <c r="X54" s="15"/>
      <c r="Y54" s="15"/>
      <c r="Z54" s="15"/>
      <c r="AA54" s="15"/>
      <c r="AB54" s="15"/>
      <c r="AC54" s="54"/>
    </row>
    <row r="55" spans="1:29" ht="20.25" customHeight="1">
      <c r="A55" s="11"/>
      <c r="B55" s="12"/>
      <c r="C55" s="171"/>
      <c r="D55" s="180" t="s">
        <v>83</v>
      </c>
      <c r="E55" s="149"/>
      <c r="F55" s="150"/>
      <c r="G55" s="204"/>
      <c r="H55" s="205"/>
      <c r="I55" s="205"/>
      <c r="J55" s="206">
        <v>-0.69759909164655676</v>
      </c>
      <c r="K55" s="207"/>
      <c r="L55" s="208"/>
      <c r="M55" s="355"/>
      <c r="N55" s="356"/>
      <c r="O55" s="356"/>
      <c r="P55" s="357"/>
      <c r="Q55" s="15"/>
      <c r="R55" s="15"/>
      <c r="S55" s="15"/>
      <c r="T55" s="15"/>
      <c r="U55" s="15"/>
      <c r="V55" s="15"/>
      <c r="W55" s="15"/>
      <c r="X55" s="15"/>
      <c r="Y55" s="15"/>
      <c r="Z55" s="15"/>
      <c r="AA55" s="15"/>
      <c r="AB55" s="15"/>
      <c r="AC55" s="54"/>
    </row>
    <row r="56" spans="1:29" ht="20.25" customHeight="1">
      <c r="A56" s="11"/>
      <c r="B56" s="12"/>
      <c r="C56" s="181" t="s">
        <v>221</v>
      </c>
      <c r="D56" s="172" t="s">
        <v>76</v>
      </c>
      <c r="E56" s="173"/>
      <c r="F56" s="174"/>
      <c r="G56" s="184">
        <v>0.81</v>
      </c>
      <c r="H56" s="183"/>
      <c r="I56" s="183"/>
      <c r="J56" s="209">
        <v>0.87414480252451143</v>
      </c>
      <c r="K56" s="210"/>
      <c r="L56" s="211"/>
      <c r="M56" s="361" t="s">
        <v>80</v>
      </c>
      <c r="N56" s="359"/>
      <c r="O56" s="359"/>
      <c r="P56" s="360"/>
      <c r="Q56" s="15"/>
      <c r="R56" s="15"/>
      <c r="S56" s="15"/>
      <c r="T56" s="15"/>
      <c r="U56" s="15"/>
      <c r="V56" s="15"/>
      <c r="W56" s="15"/>
      <c r="X56" s="15"/>
      <c r="Y56" s="15"/>
      <c r="Z56" s="15"/>
      <c r="AA56" s="15"/>
      <c r="AB56" s="15"/>
      <c r="AC56" s="54"/>
    </row>
    <row r="57" spans="1:29" ht="20.25" customHeight="1">
      <c r="A57" s="11"/>
      <c r="B57" s="12"/>
      <c r="C57" s="171"/>
      <c r="D57" s="180" t="s">
        <v>80</v>
      </c>
      <c r="E57" s="149"/>
      <c r="F57" s="150"/>
      <c r="G57" s="177"/>
      <c r="H57" s="178"/>
      <c r="I57" s="178"/>
      <c r="J57" s="148">
        <v>0.81</v>
      </c>
      <c r="K57" s="149"/>
      <c r="L57" s="150"/>
      <c r="M57" s="355"/>
      <c r="N57" s="356"/>
      <c r="O57" s="356"/>
      <c r="P57" s="357"/>
      <c r="Q57" s="15"/>
      <c r="R57" s="15"/>
      <c r="S57" s="15"/>
      <c r="T57" s="15"/>
      <c r="U57" s="15"/>
      <c r="V57" s="15"/>
      <c r="W57" s="15"/>
      <c r="X57" s="15"/>
      <c r="Y57" s="15"/>
      <c r="Z57" s="15"/>
      <c r="AA57" s="15"/>
      <c r="AB57" s="15"/>
      <c r="AC57" s="54"/>
    </row>
    <row r="58" spans="1:29" ht="20.25" customHeight="1">
      <c r="A58" s="11"/>
      <c r="B58" s="12"/>
      <c r="C58" s="181" t="s">
        <v>225</v>
      </c>
      <c r="D58" s="172" t="s">
        <v>79</v>
      </c>
      <c r="E58" s="173"/>
      <c r="F58" s="174"/>
      <c r="G58" s="184">
        <v>0.98</v>
      </c>
      <c r="H58" s="183"/>
      <c r="I58" s="183"/>
      <c r="J58" s="209">
        <v>6.7983505799442637E-2</v>
      </c>
      <c r="K58" s="210"/>
      <c r="L58" s="211"/>
      <c r="M58" s="361" t="s">
        <v>79</v>
      </c>
      <c r="N58" s="359"/>
      <c r="O58" s="359"/>
      <c r="P58" s="360"/>
      <c r="Q58" s="15"/>
      <c r="R58" s="15"/>
      <c r="S58" s="15"/>
      <c r="T58" s="15"/>
      <c r="U58" s="15"/>
      <c r="V58" s="15"/>
      <c r="W58" s="15"/>
      <c r="X58" s="15"/>
      <c r="Y58" s="15"/>
      <c r="Z58" s="15"/>
      <c r="AA58" s="15"/>
      <c r="AB58" s="15"/>
      <c r="AC58" s="54"/>
    </row>
    <row r="59" spans="1:29" ht="20.25" customHeight="1">
      <c r="A59" s="11"/>
      <c r="B59" s="12"/>
      <c r="C59" s="171"/>
      <c r="D59" s="180" t="s">
        <v>9</v>
      </c>
      <c r="E59" s="149"/>
      <c r="F59" s="150"/>
      <c r="G59" s="177"/>
      <c r="H59" s="178"/>
      <c r="I59" s="178"/>
      <c r="J59" s="206">
        <v>0.10567948235973916</v>
      </c>
      <c r="K59" s="207"/>
      <c r="L59" s="208"/>
      <c r="M59" s="355"/>
      <c r="N59" s="356"/>
      <c r="O59" s="356"/>
      <c r="P59" s="357"/>
      <c r="Q59" s="15"/>
      <c r="R59" s="15"/>
      <c r="S59" s="15"/>
      <c r="T59" s="15"/>
      <c r="U59" s="15"/>
      <c r="V59" s="15"/>
      <c r="W59" s="15"/>
      <c r="X59" s="15"/>
      <c r="Y59" s="15"/>
      <c r="Z59" s="15"/>
      <c r="AA59" s="15"/>
      <c r="AB59" s="15"/>
      <c r="AC59" s="54"/>
    </row>
    <row r="60" spans="1:29" ht="20.25" customHeight="1">
      <c r="A60" s="11"/>
      <c r="B60" s="12"/>
      <c r="C60" s="181" t="s">
        <v>226</v>
      </c>
      <c r="D60" s="172" t="s">
        <v>80</v>
      </c>
      <c r="E60" s="173"/>
      <c r="F60" s="174"/>
      <c r="G60" s="202">
        <v>-0.8</v>
      </c>
      <c r="H60" s="203"/>
      <c r="I60" s="203"/>
      <c r="J60" s="185">
        <v>0.81</v>
      </c>
      <c r="K60" s="173"/>
      <c r="L60" s="174"/>
      <c r="M60" s="361" t="s">
        <v>82</v>
      </c>
      <c r="N60" s="359"/>
      <c r="O60" s="359"/>
      <c r="P60" s="360"/>
      <c r="Q60" s="15"/>
      <c r="R60" s="15"/>
      <c r="S60" s="15"/>
      <c r="T60" s="15"/>
      <c r="U60" s="15"/>
      <c r="V60" s="15"/>
      <c r="W60" s="15"/>
      <c r="X60" s="15"/>
      <c r="Y60" s="15"/>
      <c r="Z60" s="15"/>
      <c r="AA60" s="15"/>
      <c r="AB60" s="15"/>
      <c r="AC60" s="54"/>
    </row>
    <row r="61" spans="1:29" ht="20.25" customHeight="1">
      <c r="A61" s="11"/>
      <c r="B61" s="12"/>
      <c r="C61" s="171"/>
      <c r="D61" s="180" t="s">
        <v>82</v>
      </c>
      <c r="E61" s="149"/>
      <c r="F61" s="150"/>
      <c r="G61" s="204"/>
      <c r="H61" s="205"/>
      <c r="I61" s="205"/>
      <c r="J61" s="206">
        <v>-0.68575133602704008</v>
      </c>
      <c r="K61" s="207"/>
      <c r="L61" s="208"/>
      <c r="M61" s="355"/>
      <c r="N61" s="356"/>
      <c r="O61" s="356"/>
      <c r="P61" s="357"/>
      <c r="Q61" s="15"/>
      <c r="R61" s="15"/>
      <c r="S61" s="15"/>
      <c r="T61" s="15"/>
      <c r="U61" s="15"/>
      <c r="V61" s="15"/>
      <c r="W61" s="15"/>
      <c r="X61" s="15"/>
      <c r="Y61" s="15"/>
      <c r="Z61" s="15"/>
      <c r="AA61" s="15"/>
      <c r="AB61" s="15"/>
      <c r="AC61" s="54"/>
    </row>
    <row r="62" spans="1:29" ht="16" customHeight="1">
      <c r="A62" s="11"/>
      <c r="B62" s="12"/>
      <c r="C62" s="181" t="s">
        <v>227</v>
      </c>
      <c r="D62" s="172" t="s">
        <v>80</v>
      </c>
      <c r="E62" s="173"/>
      <c r="F62" s="174"/>
      <c r="G62" s="184">
        <v>-0.77</v>
      </c>
      <c r="H62" s="183"/>
      <c r="I62" s="183"/>
      <c r="J62" s="185">
        <v>0.81</v>
      </c>
      <c r="K62" s="173"/>
      <c r="L62" s="174"/>
      <c r="M62" s="361" t="s">
        <v>83</v>
      </c>
      <c r="N62" s="359"/>
      <c r="O62" s="359"/>
      <c r="P62" s="360"/>
      <c r="Q62" s="15"/>
      <c r="R62" s="15"/>
      <c r="S62" s="15"/>
      <c r="T62" s="15"/>
      <c r="U62" s="15"/>
      <c r="V62" s="15"/>
      <c r="W62" s="15"/>
      <c r="X62" s="15"/>
      <c r="Y62" s="15"/>
      <c r="Z62" s="15"/>
      <c r="AA62" s="15"/>
      <c r="AB62" s="15"/>
      <c r="AC62" s="54"/>
    </row>
    <row r="63" spans="1:29" ht="20.25" customHeight="1">
      <c r="A63" s="11"/>
      <c r="B63" s="12"/>
      <c r="C63" s="171"/>
      <c r="D63" s="180" t="s">
        <v>83</v>
      </c>
      <c r="E63" s="149"/>
      <c r="F63" s="150"/>
      <c r="G63" s="177"/>
      <c r="H63" s="178"/>
      <c r="I63" s="178"/>
      <c r="J63" s="206">
        <v>-0.69759909164655676</v>
      </c>
      <c r="K63" s="207"/>
      <c r="L63" s="208"/>
      <c r="M63" s="355"/>
      <c r="N63" s="356"/>
      <c r="O63" s="356"/>
      <c r="P63" s="357"/>
      <c r="Q63" s="15"/>
      <c r="R63" s="15"/>
      <c r="S63" s="15"/>
      <c r="T63" s="15"/>
      <c r="U63" s="15"/>
      <c r="V63" s="15"/>
      <c r="W63" s="15"/>
      <c r="X63" s="15"/>
      <c r="Y63" s="15"/>
      <c r="Z63" s="15"/>
      <c r="AA63" s="15"/>
      <c r="AB63" s="15"/>
      <c r="AC63" s="54"/>
    </row>
    <row r="64" spans="1:29" ht="20.25" customHeight="1">
      <c r="A64" s="11"/>
      <c r="B64" s="12"/>
      <c r="C64" s="181" t="s">
        <v>228</v>
      </c>
      <c r="D64" s="172" t="s">
        <v>82</v>
      </c>
      <c r="E64" s="173"/>
      <c r="F64" s="174"/>
      <c r="G64" s="184">
        <v>0.97</v>
      </c>
      <c r="H64" s="183"/>
      <c r="I64" s="183"/>
      <c r="J64" s="209">
        <v>-0.68575133602704008</v>
      </c>
      <c r="K64" s="210"/>
      <c r="L64" s="211"/>
      <c r="M64" s="361" t="s">
        <v>82</v>
      </c>
      <c r="N64" s="359"/>
      <c r="O64" s="359"/>
      <c r="P64" s="360"/>
      <c r="Q64" s="15"/>
      <c r="R64" s="15"/>
      <c r="S64" s="15"/>
      <c r="T64" s="15"/>
      <c r="U64" s="15"/>
      <c r="V64" s="15"/>
      <c r="W64" s="15"/>
      <c r="X64" s="15"/>
      <c r="Y64" s="15"/>
      <c r="Z64" s="15"/>
      <c r="AA64" s="15"/>
      <c r="AB64" s="15"/>
      <c r="AC64" s="54"/>
    </row>
    <row r="65" spans="1:34" ht="20.25" customHeight="1">
      <c r="A65" s="11"/>
      <c r="B65" s="12"/>
      <c r="C65" s="171"/>
      <c r="D65" s="180" t="s">
        <v>83</v>
      </c>
      <c r="E65" s="149"/>
      <c r="F65" s="150"/>
      <c r="G65" s="177"/>
      <c r="H65" s="178"/>
      <c r="I65" s="178"/>
      <c r="J65" s="206">
        <v>-0.69759909164655676</v>
      </c>
      <c r="K65" s="207"/>
      <c r="L65" s="208"/>
      <c r="M65" s="355"/>
      <c r="N65" s="356"/>
      <c r="O65" s="356"/>
      <c r="P65" s="357"/>
      <c r="Q65" s="15"/>
      <c r="R65" s="15"/>
      <c r="S65" s="15"/>
      <c r="T65" s="15"/>
      <c r="U65" s="15"/>
      <c r="V65" s="15"/>
      <c r="W65" s="15"/>
      <c r="X65" s="15"/>
      <c r="Y65" s="15"/>
      <c r="Z65" s="15"/>
      <c r="AA65" s="15"/>
      <c r="AB65" s="15"/>
      <c r="AC65" s="54"/>
    </row>
    <row r="66" spans="1:34" ht="20.25" customHeight="1">
      <c r="A66" s="11"/>
      <c r="B66" s="12"/>
      <c r="C66" s="200"/>
      <c r="D66" s="201"/>
      <c r="E66" s="190"/>
      <c r="F66" s="190"/>
      <c r="G66" s="200"/>
      <c r="H66" s="200"/>
      <c r="I66" s="200"/>
      <c r="J66" s="190"/>
      <c r="K66" s="190"/>
      <c r="L66" s="190"/>
      <c r="M66" s="200"/>
      <c r="N66" s="200"/>
      <c r="O66" s="200"/>
      <c r="P66" s="200"/>
      <c r="Q66" s="15"/>
      <c r="R66" s="15"/>
      <c r="S66" s="15"/>
      <c r="T66" s="15"/>
      <c r="U66" s="15"/>
      <c r="V66" s="15"/>
      <c r="W66" s="15"/>
      <c r="X66" s="15"/>
      <c r="Y66" s="15"/>
      <c r="Z66" s="15"/>
      <c r="AA66" s="15"/>
      <c r="AB66" s="15"/>
      <c r="AC66" s="54"/>
    </row>
    <row r="67" spans="1:34" ht="20.25" customHeight="1">
      <c r="A67" s="11"/>
      <c r="B67" s="12"/>
      <c r="C67" s="200"/>
      <c r="D67" s="201"/>
      <c r="E67" s="190"/>
      <c r="F67" s="190"/>
      <c r="G67" s="200"/>
      <c r="H67" s="200"/>
      <c r="I67" s="200"/>
      <c r="J67" s="190"/>
      <c r="K67" s="190"/>
      <c r="L67" s="190"/>
      <c r="M67" s="200"/>
      <c r="N67" s="200"/>
      <c r="O67" s="200"/>
      <c r="P67" s="200"/>
      <c r="Q67" s="15"/>
      <c r="R67" s="15"/>
      <c r="S67" s="15"/>
      <c r="T67" s="15"/>
      <c r="U67" s="15"/>
      <c r="V67" s="15"/>
      <c r="W67" s="15"/>
      <c r="X67" s="15"/>
      <c r="Y67" s="15"/>
      <c r="Z67" s="15"/>
      <c r="AA67" s="15"/>
      <c r="AB67" s="15"/>
      <c r="AC67" s="54"/>
    </row>
    <row r="68" spans="1:34" ht="20.25" customHeight="1">
      <c r="A68" s="11"/>
      <c r="B68" s="12"/>
      <c r="C68" s="200"/>
      <c r="D68" s="201"/>
      <c r="E68" s="190"/>
      <c r="F68" s="190"/>
      <c r="G68" s="200"/>
      <c r="H68" s="200"/>
      <c r="I68" s="200"/>
      <c r="J68" s="190"/>
      <c r="K68" s="190"/>
      <c r="L68" s="190"/>
      <c r="M68" s="200"/>
      <c r="N68" s="200"/>
      <c r="O68" s="200"/>
      <c r="P68" s="200"/>
      <c r="Q68" s="15"/>
      <c r="R68" s="15"/>
      <c r="S68" s="15"/>
      <c r="T68" s="15"/>
      <c r="U68" s="15"/>
      <c r="V68" s="15"/>
      <c r="W68" s="15"/>
      <c r="X68" s="15"/>
      <c r="Y68" s="15"/>
      <c r="Z68" s="15"/>
      <c r="AA68" s="15"/>
      <c r="AB68" s="15"/>
      <c r="AC68" s="54"/>
    </row>
    <row r="69" spans="1:34" ht="20.25" customHeight="1">
      <c r="A69" s="11"/>
      <c r="B69" s="12"/>
      <c r="C69" s="200"/>
      <c r="D69" s="201"/>
      <c r="E69" s="190"/>
      <c r="F69" s="190"/>
      <c r="G69" s="200"/>
      <c r="H69" s="200"/>
      <c r="I69" s="200"/>
      <c r="J69" s="190"/>
      <c r="K69" s="190"/>
      <c r="L69" s="190"/>
      <c r="M69" s="200"/>
      <c r="N69" s="200"/>
      <c r="O69" s="200"/>
      <c r="P69" s="200"/>
      <c r="Q69" s="15"/>
      <c r="R69" s="15"/>
      <c r="S69" s="15"/>
      <c r="T69" s="15"/>
      <c r="U69" s="15"/>
      <c r="V69" s="15"/>
      <c r="W69" s="15"/>
      <c r="X69" s="15"/>
      <c r="Y69" s="15"/>
      <c r="Z69" s="15"/>
      <c r="AA69" s="15"/>
      <c r="AB69" s="15"/>
      <c r="AC69" s="54"/>
    </row>
    <row r="70" spans="1:34" ht="20.25" customHeight="1">
      <c r="A70" s="11"/>
      <c r="B70" s="12"/>
      <c r="C70" s="200"/>
      <c r="D70" s="201"/>
      <c r="E70" s="190"/>
      <c r="F70" s="190"/>
      <c r="G70" s="200"/>
      <c r="H70" s="200"/>
      <c r="I70" s="200"/>
      <c r="J70" s="190"/>
      <c r="K70" s="190"/>
      <c r="L70" s="190"/>
      <c r="M70" s="200"/>
      <c r="N70" s="200"/>
      <c r="O70" s="200"/>
      <c r="P70" s="200"/>
      <c r="Q70" s="15"/>
      <c r="R70" s="15"/>
      <c r="S70" s="15"/>
      <c r="T70" s="15"/>
      <c r="U70" s="15"/>
      <c r="V70" s="15"/>
      <c r="W70" s="15"/>
      <c r="X70" s="15"/>
      <c r="Y70" s="15"/>
      <c r="Z70" s="15"/>
      <c r="AA70" s="15"/>
      <c r="AB70" s="15"/>
      <c r="AC70" s="54"/>
    </row>
    <row r="71" spans="1:34" ht="20.25" customHeight="1">
      <c r="A71" s="11"/>
      <c r="B71" s="12"/>
      <c r="C71" s="200"/>
      <c r="D71" s="201"/>
      <c r="E71" s="190"/>
      <c r="F71" s="190"/>
      <c r="G71" s="200"/>
      <c r="H71" s="200"/>
      <c r="I71" s="200"/>
      <c r="J71" s="190"/>
      <c r="K71" s="190"/>
      <c r="L71" s="190"/>
      <c r="M71" s="200"/>
      <c r="N71" s="200"/>
      <c r="O71" s="200"/>
      <c r="P71" s="200"/>
      <c r="Q71" s="15"/>
      <c r="R71" s="15"/>
      <c r="S71" s="15"/>
      <c r="T71" s="15"/>
      <c r="U71" s="15"/>
      <c r="V71" s="15"/>
      <c r="W71" s="15"/>
      <c r="X71" s="15"/>
      <c r="Y71" s="15"/>
      <c r="Z71" s="15"/>
      <c r="AA71" s="15"/>
      <c r="AB71" s="15"/>
      <c r="AC71" s="54"/>
    </row>
    <row r="72" spans="1:34" ht="20.25" customHeight="1">
      <c r="A72" s="11"/>
      <c r="B72" s="12"/>
      <c r="C72" s="200"/>
      <c r="D72" s="201"/>
      <c r="E72" s="190"/>
      <c r="F72" s="190"/>
      <c r="G72" s="200"/>
      <c r="H72" s="200"/>
      <c r="I72" s="200"/>
      <c r="J72" s="190"/>
      <c r="K72" s="190"/>
      <c r="L72" s="190"/>
      <c r="M72" s="200"/>
      <c r="N72" s="200"/>
      <c r="O72" s="200"/>
      <c r="P72" s="200"/>
      <c r="Q72" s="15"/>
      <c r="R72" s="15"/>
      <c r="S72" s="15"/>
      <c r="T72" s="15"/>
      <c r="U72" s="15"/>
      <c r="V72" s="15"/>
      <c r="W72" s="15"/>
      <c r="X72" s="15"/>
      <c r="Y72" s="15"/>
      <c r="Z72" s="15"/>
      <c r="AA72" s="15"/>
      <c r="AB72" s="15"/>
      <c r="AC72" s="54"/>
    </row>
    <row r="73" spans="1:34" ht="20.25" customHeight="1">
      <c r="A73" s="11"/>
      <c r="B73" s="12"/>
      <c r="C73" s="200"/>
      <c r="D73" s="201"/>
      <c r="E73" s="190"/>
      <c r="F73" s="190"/>
      <c r="G73" s="200"/>
      <c r="H73" s="200"/>
      <c r="I73" s="200"/>
      <c r="J73" s="190"/>
      <c r="K73" s="190"/>
      <c r="L73" s="190"/>
      <c r="M73" s="200"/>
      <c r="N73" s="200"/>
      <c r="O73" s="200"/>
      <c r="P73" s="200"/>
      <c r="Q73" s="15"/>
      <c r="R73" s="15"/>
      <c r="S73" s="15"/>
      <c r="T73" s="15"/>
      <c r="U73" s="15"/>
      <c r="V73" s="15"/>
      <c r="W73" s="15"/>
      <c r="X73" s="15"/>
      <c r="Y73" s="15"/>
      <c r="Z73" s="15"/>
      <c r="AA73" s="15"/>
      <c r="AB73" s="15"/>
      <c r="AC73" s="54"/>
    </row>
    <row r="74" spans="1:34" ht="20.25" customHeight="1">
      <c r="A74" s="11"/>
      <c r="B74" s="12"/>
      <c r="C74" s="200"/>
      <c r="D74" s="201"/>
      <c r="E74" s="190"/>
      <c r="F74" s="190"/>
      <c r="G74" s="200"/>
      <c r="H74" s="200"/>
      <c r="I74" s="200"/>
      <c r="J74" s="190"/>
      <c r="K74" s="190"/>
      <c r="L74" s="190"/>
      <c r="M74" s="200"/>
      <c r="N74" s="200"/>
      <c r="O74" s="200"/>
      <c r="P74" s="200"/>
      <c r="Q74" s="15"/>
      <c r="R74" s="15"/>
      <c r="S74" s="15"/>
      <c r="T74" s="15"/>
      <c r="U74" s="15"/>
      <c r="V74" s="15"/>
      <c r="W74" s="15"/>
      <c r="X74" s="15"/>
      <c r="Y74" s="15"/>
      <c r="Z74" s="15"/>
      <c r="AA74" s="15"/>
      <c r="AB74" s="15"/>
      <c r="AC74" s="54"/>
    </row>
    <row r="75" spans="1:34" ht="20.25" customHeight="1">
      <c r="A75" s="11"/>
      <c r="B75" s="12"/>
      <c r="C75" s="200"/>
      <c r="D75" s="201"/>
      <c r="E75" s="190"/>
      <c r="F75" s="190"/>
      <c r="G75" s="200"/>
      <c r="H75" s="200"/>
      <c r="I75" s="200"/>
      <c r="J75" s="190"/>
      <c r="K75" s="190"/>
      <c r="L75" s="190"/>
      <c r="M75" s="200"/>
      <c r="N75" s="200"/>
      <c r="O75" s="200"/>
      <c r="P75" s="200"/>
      <c r="Q75" s="15"/>
      <c r="R75" s="15"/>
      <c r="S75" s="15"/>
      <c r="T75" s="15"/>
      <c r="U75" s="15"/>
      <c r="V75" s="15"/>
      <c r="W75" s="15"/>
      <c r="X75" s="15"/>
      <c r="Y75" s="15"/>
      <c r="Z75" s="15"/>
      <c r="AA75" s="15"/>
      <c r="AB75" s="15"/>
      <c r="AC75" s="54"/>
    </row>
    <row r="76" spans="1:34" ht="20.25" customHeight="1">
      <c r="A76" s="11"/>
      <c r="B76" s="12"/>
      <c r="C76" s="33"/>
      <c r="D76" s="33"/>
      <c r="E76" s="33"/>
      <c r="F76" s="33"/>
      <c r="G76" s="33"/>
      <c r="H76" s="33"/>
      <c r="I76" s="33"/>
      <c r="J76" s="33"/>
      <c r="K76" s="33"/>
      <c r="L76" s="33"/>
      <c r="M76" s="33"/>
      <c r="N76" s="33"/>
      <c r="O76" s="33"/>
      <c r="P76" s="33"/>
      <c r="Q76" s="33"/>
      <c r="R76" s="33"/>
      <c r="S76" s="33"/>
      <c r="T76" s="33"/>
      <c r="U76" s="33"/>
      <c r="V76" s="33"/>
      <c r="W76" s="33"/>
      <c r="X76" s="33"/>
      <c r="Y76" s="33"/>
      <c r="Z76" s="33"/>
      <c r="AA76" s="33"/>
      <c r="AB76" s="33"/>
      <c r="AC76" s="122"/>
      <c r="AD76" s="33"/>
      <c r="AE76" s="33"/>
      <c r="AF76" s="33"/>
      <c r="AG76" s="33"/>
      <c r="AH76" s="33"/>
    </row>
    <row r="77" spans="1:34" ht="20.25" customHeight="1" thickBot="1">
      <c r="A77" s="57"/>
      <c r="B77" s="58"/>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60"/>
      <c r="AD77" s="57"/>
      <c r="AE77" s="57"/>
      <c r="AF77" s="57"/>
      <c r="AG77" s="57"/>
      <c r="AH77" s="57"/>
    </row>
    <row r="78" spans="1:34" ht="20.25" customHeight="1"/>
    <row r="79" spans="1:34" ht="20.25" customHeight="1">
      <c r="A79" s="1" t="s">
        <v>64</v>
      </c>
      <c r="B79" s="1"/>
      <c r="E79" s="3" t="s">
        <v>35</v>
      </c>
    </row>
    <row r="80" spans="1:34" ht="20.25" customHeight="1">
      <c r="B80" s="61" t="s">
        <v>65</v>
      </c>
      <c r="C80" s="5"/>
      <c r="D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row>
    <row r="81" spans="2:34" ht="38.25" customHeight="1">
      <c r="B81" s="311"/>
      <c r="C81" s="312"/>
      <c r="D81" s="312"/>
      <c r="E81" s="312"/>
      <c r="F81" s="312"/>
      <c r="G81" s="312"/>
      <c r="H81" s="312"/>
      <c r="I81" s="312"/>
      <c r="J81" s="312"/>
      <c r="K81" s="312"/>
      <c r="L81" s="312"/>
      <c r="M81" s="312"/>
      <c r="N81" s="312"/>
      <c r="O81" s="312"/>
      <c r="P81" s="313"/>
      <c r="Q81" s="313"/>
      <c r="R81" s="312"/>
      <c r="S81" s="312"/>
      <c r="T81" s="312"/>
      <c r="U81" s="312"/>
      <c r="V81" s="312"/>
      <c r="W81" s="312"/>
      <c r="X81" s="312"/>
      <c r="Y81" s="312"/>
      <c r="Z81" s="312"/>
      <c r="AA81" s="312"/>
      <c r="AB81" s="313"/>
      <c r="AC81" s="312"/>
      <c r="AD81" s="312"/>
      <c r="AE81" s="312"/>
      <c r="AF81" s="312"/>
      <c r="AG81" s="288"/>
      <c r="AH81" s="190"/>
    </row>
    <row r="82" spans="2:34" ht="17.25" customHeight="1">
      <c r="B82" s="291"/>
      <c r="C82" s="284"/>
      <c r="D82" s="283"/>
      <c r="E82" s="284"/>
      <c r="F82" s="284"/>
      <c r="G82" s="284"/>
      <c r="H82" s="284"/>
      <c r="I82" s="284"/>
      <c r="J82" s="284"/>
      <c r="K82" s="284"/>
      <c r="L82" s="284"/>
      <c r="M82" s="284"/>
      <c r="N82" s="284"/>
      <c r="O82" s="284"/>
      <c r="P82" s="283"/>
      <c r="Q82" s="283"/>
      <c r="R82" s="284"/>
      <c r="S82" s="284"/>
      <c r="T82" s="285"/>
      <c r="U82" s="284"/>
      <c r="V82" s="284"/>
      <c r="W82" s="284"/>
      <c r="X82" s="284"/>
      <c r="Y82" s="284"/>
      <c r="Z82" s="284"/>
      <c r="AA82" s="284"/>
      <c r="AB82" s="283"/>
      <c r="AC82" s="284"/>
      <c r="AD82" s="284"/>
      <c r="AE82" s="284"/>
      <c r="AF82" s="284"/>
      <c r="AG82" s="314"/>
      <c r="AH82" s="303"/>
    </row>
    <row r="83" spans="2:34" ht="20.25" customHeight="1">
      <c r="B83" s="291"/>
      <c r="C83" s="283"/>
      <c r="D83" s="304"/>
      <c r="E83" s="304" t="s">
        <v>70</v>
      </c>
      <c r="F83" s="368" t="s">
        <v>71</v>
      </c>
      <c r="G83" s="368" t="s">
        <v>72</v>
      </c>
      <c r="H83" s="368" t="s">
        <v>73</v>
      </c>
      <c r="I83" s="304" t="s">
        <v>74</v>
      </c>
      <c r="J83" s="368" t="s">
        <v>75</v>
      </c>
      <c r="K83" s="304" t="s">
        <v>76</v>
      </c>
      <c r="L83" s="304" t="s">
        <v>77</v>
      </c>
      <c r="M83" s="304" t="s">
        <v>78</v>
      </c>
      <c r="N83" s="368" t="s">
        <v>79</v>
      </c>
      <c r="O83" s="368" t="s">
        <v>80</v>
      </c>
      <c r="P83" s="304" t="s">
        <v>81</v>
      </c>
      <c r="Q83" s="368" t="s">
        <v>82</v>
      </c>
      <c r="R83" s="368" t="s">
        <v>83</v>
      </c>
      <c r="S83" s="304" t="s">
        <v>9</v>
      </c>
      <c r="T83" s="304" t="s">
        <v>8</v>
      </c>
      <c r="U83" s="368" t="s">
        <v>5</v>
      </c>
      <c r="V83" s="304" t="s">
        <v>7</v>
      </c>
      <c r="W83" s="304" t="s">
        <v>6</v>
      </c>
      <c r="X83" s="304" t="s">
        <v>10</v>
      </c>
      <c r="Y83" s="304" t="s">
        <v>84</v>
      </c>
      <c r="Z83" s="305"/>
      <c r="AA83" s="305"/>
      <c r="AB83" s="305"/>
      <c r="AC83" s="305"/>
      <c r="AD83" s="305"/>
      <c r="AE83" s="305"/>
      <c r="AF83" s="305"/>
      <c r="AG83" s="315"/>
      <c r="AH83" s="305"/>
    </row>
    <row r="84" spans="2:34" ht="20.25" customHeight="1">
      <c r="B84" s="291"/>
      <c r="C84" s="283"/>
      <c r="D84" s="192" t="s">
        <v>70</v>
      </c>
      <c r="E84" s="192">
        <v>1</v>
      </c>
      <c r="F84" s="192"/>
      <c r="G84" s="192"/>
      <c r="H84" s="192"/>
      <c r="I84" s="192"/>
      <c r="J84" s="192"/>
      <c r="K84" s="192"/>
      <c r="L84" s="192"/>
      <c r="M84" s="192"/>
      <c r="N84" s="192"/>
      <c r="O84" s="192"/>
      <c r="P84" s="192"/>
      <c r="Q84" s="192"/>
      <c r="R84" s="192"/>
      <c r="S84" s="192"/>
      <c r="T84" s="192"/>
      <c r="U84" s="192"/>
      <c r="V84" s="192"/>
      <c r="W84" s="192"/>
      <c r="X84" s="192"/>
      <c r="Y84" s="192"/>
      <c r="Z84" s="191"/>
      <c r="AA84" s="191"/>
      <c r="AB84" s="191"/>
      <c r="AC84" s="191"/>
      <c r="AD84" s="191"/>
      <c r="AE84" s="191"/>
      <c r="AF84" s="191"/>
      <c r="AG84" s="316"/>
      <c r="AH84" s="191"/>
    </row>
    <row r="85" spans="2:34" ht="20.25" customHeight="1">
      <c r="B85" s="291"/>
      <c r="C85" s="283"/>
      <c r="D85" s="192" t="s">
        <v>71</v>
      </c>
      <c r="E85" s="192">
        <v>-0.53195368162349232</v>
      </c>
      <c r="F85" s="192">
        <v>1</v>
      </c>
      <c r="G85" s="192"/>
      <c r="H85" s="192"/>
      <c r="I85" s="192"/>
      <c r="J85" s="192"/>
      <c r="K85" s="192"/>
      <c r="L85" s="192"/>
      <c r="M85" s="192"/>
      <c r="N85" s="192"/>
      <c r="O85" s="192"/>
      <c r="P85" s="192"/>
      <c r="Q85" s="192"/>
      <c r="R85" s="192"/>
      <c r="S85" s="192"/>
      <c r="T85" s="192"/>
      <c r="U85" s="192"/>
      <c r="V85" s="192"/>
      <c r="W85" s="192"/>
      <c r="X85" s="192"/>
      <c r="Y85" s="192"/>
      <c r="Z85" s="191"/>
      <c r="AA85" s="191"/>
      <c r="AB85" s="191"/>
      <c r="AC85" s="191"/>
      <c r="AD85" s="191"/>
      <c r="AE85" s="191"/>
      <c r="AF85" s="191"/>
      <c r="AG85" s="316"/>
      <c r="AH85" s="191"/>
    </row>
    <row r="86" spans="2:34" ht="20.25" customHeight="1">
      <c r="B86" s="291"/>
      <c r="C86" s="283"/>
      <c r="D86" s="192" t="s">
        <v>72</v>
      </c>
      <c r="E86" s="192">
        <v>-0.35761152261729051</v>
      </c>
      <c r="F86" s="212">
        <v>0.87458747596426412</v>
      </c>
      <c r="G86" s="192">
        <v>1</v>
      </c>
      <c r="H86" s="192"/>
      <c r="I86" s="192"/>
      <c r="J86" s="192"/>
      <c r="K86" s="192"/>
      <c r="L86" s="192"/>
      <c r="M86" s="192"/>
      <c r="N86" s="192"/>
      <c r="O86" s="192"/>
      <c r="P86" s="192"/>
      <c r="Q86" s="192"/>
      <c r="R86" s="192"/>
      <c r="S86" s="192"/>
      <c r="T86" s="192"/>
      <c r="U86" s="192"/>
      <c r="V86" s="192"/>
      <c r="W86" s="192"/>
      <c r="X86" s="192"/>
      <c r="Y86" s="192"/>
      <c r="Z86" s="191"/>
      <c r="AA86" s="191"/>
      <c r="AB86" s="191"/>
      <c r="AC86" s="191"/>
      <c r="AD86" s="191"/>
      <c r="AE86" s="191"/>
      <c r="AF86" s="191"/>
      <c r="AG86" s="316"/>
      <c r="AH86" s="191"/>
    </row>
    <row r="87" spans="2:34" ht="20.25" customHeight="1">
      <c r="B87" s="291"/>
      <c r="C87" s="283"/>
      <c r="D87" s="192" t="s">
        <v>73</v>
      </c>
      <c r="E87" s="192">
        <v>-0.23291906097426607</v>
      </c>
      <c r="F87" s="212">
        <v>0.79514364361696976</v>
      </c>
      <c r="G87" s="212">
        <v>0.84111826848184568</v>
      </c>
      <c r="H87" s="192">
        <v>1</v>
      </c>
      <c r="I87" s="192"/>
      <c r="J87" s="192"/>
      <c r="K87" s="192"/>
      <c r="L87" s="192"/>
      <c r="M87" s="192"/>
      <c r="N87" s="192"/>
      <c r="O87" s="192"/>
      <c r="P87" s="192"/>
      <c r="Q87" s="192"/>
      <c r="R87" s="192"/>
      <c r="S87" s="192"/>
      <c r="T87" s="192"/>
      <c r="U87" s="192"/>
      <c r="V87" s="192"/>
      <c r="W87" s="192"/>
      <c r="X87" s="192"/>
      <c r="Y87" s="192"/>
      <c r="Z87" s="191"/>
      <c r="AA87" s="191"/>
      <c r="AB87" s="191"/>
      <c r="AC87" s="191"/>
      <c r="AD87" s="191"/>
      <c r="AE87" s="191"/>
      <c r="AF87" s="191"/>
      <c r="AG87" s="316"/>
      <c r="AH87" s="191"/>
    </row>
    <row r="88" spans="2:34" ht="20.25" customHeight="1">
      <c r="B88" s="291"/>
      <c r="C88" s="283"/>
      <c r="D88" s="192" t="s">
        <v>74</v>
      </c>
      <c r="E88" s="192">
        <v>-0.54103819976851941</v>
      </c>
      <c r="F88" s="192">
        <v>0.58943476169334963</v>
      </c>
      <c r="G88" s="192">
        <v>0.49102945750421373</v>
      </c>
      <c r="H88" s="192">
        <v>0.27921032110974953</v>
      </c>
      <c r="I88" s="192">
        <v>1</v>
      </c>
      <c r="J88" s="192"/>
      <c r="K88" s="192"/>
      <c r="L88" s="192"/>
      <c r="M88" s="192"/>
      <c r="N88" s="192"/>
      <c r="O88" s="192"/>
      <c r="P88" s="192"/>
      <c r="Q88" s="192"/>
      <c r="R88" s="192"/>
      <c r="S88" s="192"/>
      <c r="T88" s="192"/>
      <c r="U88" s="192"/>
      <c r="V88" s="192"/>
      <c r="W88" s="192"/>
      <c r="X88" s="192"/>
      <c r="Y88" s="192"/>
      <c r="Z88" s="191"/>
      <c r="AA88" s="191"/>
      <c r="AB88" s="191"/>
      <c r="AC88" s="191"/>
      <c r="AD88" s="191"/>
      <c r="AE88" s="191"/>
      <c r="AF88" s="191"/>
      <c r="AG88" s="316"/>
      <c r="AH88" s="191"/>
    </row>
    <row r="89" spans="2:34" ht="20.25" customHeight="1">
      <c r="B89" s="291"/>
      <c r="C89" s="283"/>
      <c r="D89" s="192" t="s">
        <v>75</v>
      </c>
      <c r="E89" s="192">
        <v>-0.2276905884774521</v>
      </c>
      <c r="F89" s="212">
        <v>0.77638632778221051</v>
      </c>
      <c r="G89" s="212">
        <v>0.8777284608306426</v>
      </c>
      <c r="H89" s="212">
        <v>0.86703246467912343</v>
      </c>
      <c r="I89" s="192">
        <v>0.2955717261948495</v>
      </c>
      <c r="J89" s="192">
        <v>1</v>
      </c>
      <c r="K89" s="192"/>
      <c r="L89" s="192"/>
      <c r="M89" s="192"/>
      <c r="N89" s="192"/>
      <c r="O89" s="192"/>
      <c r="P89" s="192"/>
      <c r="Q89" s="192"/>
      <c r="R89" s="192"/>
      <c r="S89" s="192"/>
      <c r="T89" s="192"/>
      <c r="U89" s="192"/>
      <c r="V89" s="192"/>
      <c r="W89" s="192"/>
      <c r="X89" s="192"/>
      <c r="Y89" s="192"/>
      <c r="Z89" s="191"/>
      <c r="AA89" s="191"/>
      <c r="AB89" s="191"/>
      <c r="AC89" s="191"/>
      <c r="AD89" s="191"/>
      <c r="AE89" s="191"/>
      <c r="AF89" s="191"/>
      <c r="AG89" s="316"/>
      <c r="AH89" s="191"/>
    </row>
    <row r="90" spans="2:34" ht="20.25" customHeight="1">
      <c r="B90" s="291"/>
      <c r="C90" s="283"/>
      <c r="D90" s="192" t="s">
        <v>76</v>
      </c>
      <c r="E90" s="192">
        <v>-0.1057897092896643</v>
      </c>
      <c r="F90" s="192">
        <v>0.56932868153969829</v>
      </c>
      <c r="G90" s="192">
        <v>0.68335987265190368</v>
      </c>
      <c r="H90" s="212">
        <v>0.73543340477963737</v>
      </c>
      <c r="I90" s="192">
        <v>6.7148741802705456E-2</v>
      </c>
      <c r="J90" s="212">
        <v>0.85059407342627724</v>
      </c>
      <c r="K90" s="192">
        <v>1</v>
      </c>
      <c r="L90" s="192"/>
      <c r="M90" s="192"/>
      <c r="N90" s="192"/>
      <c r="O90" s="192"/>
      <c r="P90" s="192"/>
      <c r="Q90" s="192"/>
      <c r="R90" s="192"/>
      <c r="S90" s="192"/>
      <c r="T90" s="192"/>
      <c r="U90" s="192"/>
      <c r="V90" s="192"/>
      <c r="W90" s="192"/>
      <c r="X90" s="192"/>
      <c r="Y90" s="192"/>
      <c r="Z90" s="191"/>
      <c r="AA90" s="191"/>
      <c r="AB90" s="191"/>
      <c r="AC90" s="191"/>
      <c r="AD90" s="191"/>
      <c r="AE90" s="191"/>
      <c r="AF90" s="191"/>
      <c r="AG90" s="316"/>
      <c r="AH90" s="191"/>
    </row>
    <row r="91" spans="2:34" ht="20.25" customHeight="1">
      <c r="B91" s="291"/>
      <c r="C91" s="283"/>
      <c r="D91" s="192" t="s">
        <v>77</v>
      </c>
      <c r="E91" s="192">
        <v>-0.1300513596849307</v>
      </c>
      <c r="F91" s="192">
        <v>0.48874987527566621</v>
      </c>
      <c r="G91" s="192">
        <v>0.60645435798496938</v>
      </c>
      <c r="H91" s="192">
        <v>0.55914990860239167</v>
      </c>
      <c r="I91" s="192">
        <v>0.17107092150966</v>
      </c>
      <c r="J91" s="192">
        <v>0.6484797487010705</v>
      </c>
      <c r="K91" s="192">
        <v>0.58377432741710045</v>
      </c>
      <c r="L91" s="192">
        <v>1</v>
      </c>
      <c r="M91" s="192"/>
      <c r="N91" s="192"/>
      <c r="O91" s="192"/>
      <c r="P91" s="192"/>
      <c r="Q91" s="192"/>
      <c r="R91" s="192"/>
      <c r="S91" s="192"/>
      <c r="T91" s="192"/>
      <c r="U91" s="192"/>
      <c r="V91" s="192"/>
      <c r="W91" s="192"/>
      <c r="X91" s="192"/>
      <c r="Y91" s="192"/>
      <c r="Z91" s="191"/>
      <c r="AA91" s="191"/>
      <c r="AB91" s="191"/>
      <c r="AC91" s="191"/>
      <c r="AD91" s="191"/>
      <c r="AE91" s="191"/>
      <c r="AF91" s="191"/>
      <c r="AG91" s="316"/>
      <c r="AH91" s="191"/>
    </row>
    <row r="92" spans="2:34" ht="20.25" customHeight="1">
      <c r="B92" s="291"/>
      <c r="C92" s="283"/>
      <c r="D92" s="192" t="s">
        <v>78</v>
      </c>
      <c r="E92" s="192">
        <v>-8.7351406733306974E-3</v>
      </c>
      <c r="F92" s="192">
        <v>0.16095904729726271</v>
      </c>
      <c r="G92" s="192">
        <v>0.12953261112791181</v>
      </c>
      <c r="H92" s="192">
        <v>0.18294169251421785</v>
      </c>
      <c r="I92" s="192">
        <v>-5.5306673698787709E-2</v>
      </c>
      <c r="J92" s="192">
        <v>0.16879003525191957</v>
      </c>
      <c r="K92" s="192">
        <v>0.20312858790295588</v>
      </c>
      <c r="L92" s="192">
        <v>-5.5908982520089086E-2</v>
      </c>
      <c r="M92" s="192">
        <v>1</v>
      </c>
      <c r="N92" s="192"/>
      <c r="O92" s="192"/>
      <c r="P92" s="192"/>
      <c r="Q92" s="192"/>
      <c r="R92" s="192"/>
      <c r="S92" s="192"/>
      <c r="T92" s="192"/>
      <c r="U92" s="192"/>
      <c r="V92" s="192"/>
      <c r="W92" s="192"/>
      <c r="X92" s="192"/>
      <c r="Y92" s="192"/>
      <c r="Z92" s="191"/>
      <c r="AA92" s="191"/>
      <c r="AB92" s="191"/>
      <c r="AC92" s="191"/>
      <c r="AD92" s="191"/>
      <c r="AE92" s="191"/>
      <c r="AF92" s="191"/>
      <c r="AG92" s="316"/>
      <c r="AH92" s="191"/>
    </row>
    <row r="93" spans="2:34" ht="20.25" customHeight="1">
      <c r="B93" s="291"/>
      <c r="C93" s="283"/>
      <c r="D93" s="192" t="s">
        <v>79</v>
      </c>
      <c r="E93" s="192">
        <v>-0.17851508438647615</v>
      </c>
      <c r="F93" s="192">
        <v>0.24978584518743435</v>
      </c>
      <c r="G93" s="192">
        <v>0.1584137064402065</v>
      </c>
      <c r="H93" s="192">
        <v>0.18112862677079766</v>
      </c>
      <c r="I93" s="192">
        <v>0.2612142263199399</v>
      </c>
      <c r="J93" s="192">
        <v>0.15136174003093072</v>
      </c>
      <c r="K93" s="192">
        <v>2.8971359704083224E-2</v>
      </c>
      <c r="L93" s="192">
        <v>5.1973387005892187E-3</v>
      </c>
      <c r="M93" s="192">
        <v>0.1861101102879546</v>
      </c>
      <c r="N93" s="192">
        <v>1</v>
      </c>
      <c r="O93" s="192"/>
      <c r="P93" s="192"/>
      <c r="Q93" s="192"/>
      <c r="R93" s="192"/>
      <c r="S93" s="192"/>
      <c r="T93" s="192"/>
      <c r="U93" s="192"/>
      <c r="V93" s="192"/>
      <c r="W93" s="192"/>
      <c r="X93" s="192"/>
      <c r="Y93" s="192"/>
      <c r="Z93" s="191"/>
      <c r="AA93" s="191"/>
      <c r="AB93" s="191"/>
      <c r="AC93" s="191"/>
      <c r="AD93" s="191"/>
      <c r="AE93" s="191"/>
      <c r="AF93" s="191"/>
      <c r="AG93" s="316"/>
      <c r="AH93" s="191"/>
    </row>
    <row r="94" spans="2:34" ht="20.25" customHeight="1">
      <c r="B94" s="291"/>
      <c r="C94" s="283"/>
      <c r="D94" s="192" t="s">
        <v>80</v>
      </c>
      <c r="E94" s="192">
        <v>7.0872724042449459E-2</v>
      </c>
      <c r="F94" s="192">
        <v>0.35329447820540011</v>
      </c>
      <c r="G94" s="192">
        <v>0.55262296739418326</v>
      </c>
      <c r="H94" s="192">
        <v>0.64073207557229339</v>
      </c>
      <c r="I94" s="192">
        <v>-0.10880205898413593</v>
      </c>
      <c r="J94" s="212">
        <v>0.7507392514434813</v>
      </c>
      <c r="K94" s="212">
        <v>0.8097686545377305</v>
      </c>
      <c r="L94" s="192">
        <v>0.5736768234657198</v>
      </c>
      <c r="M94" s="192">
        <v>8.0939535744953189E-2</v>
      </c>
      <c r="N94" s="192">
        <v>-0.20432622618867824</v>
      </c>
      <c r="O94" s="192">
        <v>1</v>
      </c>
      <c r="P94" s="192"/>
      <c r="Q94" s="192"/>
      <c r="R94" s="192"/>
      <c r="S94" s="192"/>
      <c r="T94" s="192"/>
      <c r="U94" s="192"/>
      <c r="V94" s="192"/>
      <c r="W94" s="192"/>
      <c r="X94" s="192"/>
      <c r="Y94" s="192"/>
      <c r="Z94" s="191"/>
      <c r="AA94" s="191"/>
      <c r="AB94" s="191"/>
      <c r="AC94" s="191"/>
      <c r="AD94" s="191"/>
      <c r="AE94" s="191"/>
      <c r="AF94" s="191"/>
      <c r="AG94" s="316"/>
      <c r="AH94" s="191"/>
    </row>
    <row r="95" spans="2:34" ht="20.25" customHeight="1">
      <c r="B95" s="291"/>
      <c r="C95" s="283"/>
      <c r="D95" s="192" t="s">
        <v>81</v>
      </c>
      <c r="E95" s="192">
        <v>0.27360624512880943</v>
      </c>
      <c r="F95" s="192">
        <v>-0.36046874776149129</v>
      </c>
      <c r="G95" s="192">
        <v>-0.28724220281843899</v>
      </c>
      <c r="H95" s="192">
        <v>-0.22001230306613698</v>
      </c>
      <c r="I95" s="192">
        <v>-0.32041072381018604</v>
      </c>
      <c r="J95" s="192">
        <v>-0.26624318433673111</v>
      </c>
      <c r="K95" s="192">
        <v>-0.24465982533217534</v>
      </c>
      <c r="L95" s="192">
        <v>-0.254975528368732</v>
      </c>
      <c r="M95" s="192">
        <v>-6.7963753164909366E-2</v>
      </c>
      <c r="N95" s="192">
        <v>-0.4357405144561976</v>
      </c>
      <c r="O95" s="192">
        <v>0.13107250535631115</v>
      </c>
      <c r="P95" s="192">
        <v>1</v>
      </c>
      <c r="Q95" s="192"/>
      <c r="R95" s="192"/>
      <c r="S95" s="192"/>
      <c r="T95" s="192"/>
      <c r="U95" s="192"/>
      <c r="V95" s="192"/>
      <c r="W95" s="192"/>
      <c r="X95" s="192"/>
      <c r="Y95" s="192"/>
      <c r="Z95" s="191"/>
      <c r="AA95" s="191"/>
      <c r="AB95" s="191"/>
      <c r="AC95" s="191"/>
      <c r="AD95" s="191"/>
      <c r="AE95" s="191"/>
      <c r="AF95" s="191"/>
      <c r="AG95" s="316"/>
      <c r="AH95" s="191"/>
    </row>
    <row r="96" spans="2:34" ht="20.25" customHeight="1">
      <c r="B96" s="291"/>
      <c r="C96" s="283"/>
      <c r="D96" s="192" t="s">
        <v>82</v>
      </c>
      <c r="E96" s="192">
        <v>-3.5822627945541065E-2</v>
      </c>
      <c r="F96" s="192">
        <v>-0.47041361340548404</v>
      </c>
      <c r="G96" s="192">
        <v>-0.67090866155857132</v>
      </c>
      <c r="H96" s="192">
        <v>-0.64270434071089821</v>
      </c>
      <c r="I96" s="192">
        <v>-4.863962869509296E-2</v>
      </c>
      <c r="J96" s="212">
        <v>-0.75741378450560082</v>
      </c>
      <c r="K96" s="192">
        <v>-0.65365791631142023</v>
      </c>
      <c r="L96" s="192">
        <v>-0.58453171566948414</v>
      </c>
      <c r="M96" s="192">
        <v>-4.2144754040548606E-2</v>
      </c>
      <c r="N96" s="192">
        <v>0.32470142452073286</v>
      </c>
      <c r="O96" s="212">
        <v>-0.80145617566627003</v>
      </c>
      <c r="P96" s="192">
        <v>-0.11354438353910276</v>
      </c>
      <c r="Q96" s="192">
        <v>1</v>
      </c>
      <c r="R96" s="192"/>
      <c r="S96" s="192"/>
      <c r="T96" s="192"/>
      <c r="U96" s="192"/>
      <c r="V96" s="192"/>
      <c r="W96" s="192"/>
      <c r="X96" s="192"/>
      <c r="Y96" s="192"/>
      <c r="Z96" s="191"/>
      <c r="AA96" s="191"/>
      <c r="AB96" s="191"/>
      <c r="AC96" s="191"/>
      <c r="AD96" s="191"/>
      <c r="AE96" s="191"/>
      <c r="AF96" s="191"/>
      <c r="AG96" s="316"/>
      <c r="AH96" s="191"/>
    </row>
    <row r="97" spans="1:36" ht="20.25" customHeight="1">
      <c r="B97" s="291"/>
      <c r="C97" s="283"/>
      <c r="D97" s="192" t="s">
        <v>83</v>
      </c>
      <c r="E97" s="192">
        <v>3.4606000711919882E-2</v>
      </c>
      <c r="F97" s="192">
        <v>-0.54408192340882888</v>
      </c>
      <c r="G97" s="212">
        <v>-0.7046616035425507</v>
      </c>
      <c r="H97" s="192">
        <v>-0.67721791731171432</v>
      </c>
      <c r="I97" s="192">
        <v>-0.10735762697679829</v>
      </c>
      <c r="J97" s="212">
        <v>-0.79746479228118028</v>
      </c>
      <c r="K97" s="192">
        <v>-0.67746990783865479</v>
      </c>
      <c r="L97" s="192">
        <v>-0.58701178424177736</v>
      </c>
      <c r="M97" s="192">
        <v>-4.3930930446513465E-2</v>
      </c>
      <c r="N97" s="192">
        <v>0.26520138916339681</v>
      </c>
      <c r="O97" s="212">
        <v>-0.77054389137295998</v>
      </c>
      <c r="P97" s="192">
        <v>-5.4274808342345472E-2</v>
      </c>
      <c r="Q97" s="212">
        <v>0.97133704234250617</v>
      </c>
      <c r="R97" s="192">
        <v>1</v>
      </c>
      <c r="S97" s="192"/>
      <c r="T97" s="192"/>
      <c r="U97" s="192"/>
      <c r="V97" s="192"/>
      <c r="W97" s="192"/>
      <c r="X97" s="192"/>
      <c r="Y97" s="192"/>
      <c r="Z97" s="191"/>
      <c r="AA97" s="191"/>
      <c r="AB97" s="191"/>
      <c r="AC97" s="191"/>
      <c r="AD97" s="191"/>
      <c r="AE97" s="191"/>
      <c r="AF97" s="191"/>
      <c r="AG97" s="316"/>
      <c r="AH97" s="191"/>
    </row>
    <row r="98" spans="1:36" ht="20.25" customHeight="1">
      <c r="B98" s="291"/>
      <c r="C98" s="283"/>
      <c r="D98" s="192" t="s">
        <v>9</v>
      </c>
      <c r="E98" s="192">
        <v>-0.1943109387573716</v>
      </c>
      <c r="F98" s="192">
        <v>0.30834586183695867</v>
      </c>
      <c r="G98" s="192">
        <v>0.21267882217810213</v>
      </c>
      <c r="H98" s="192">
        <v>0.23387981306426189</v>
      </c>
      <c r="I98" s="192">
        <v>0.28463105837522534</v>
      </c>
      <c r="J98" s="192">
        <v>0.21727532151806678</v>
      </c>
      <c r="K98" s="192">
        <v>6.9594285585904511E-2</v>
      </c>
      <c r="L98" s="192">
        <v>5.445102921373126E-2</v>
      </c>
      <c r="M98" s="192">
        <v>0.24182882129112152</v>
      </c>
      <c r="N98" s="212">
        <v>0.98435605687675598</v>
      </c>
      <c r="O98" s="192">
        <v>-0.16392616716997876</v>
      </c>
      <c r="P98" s="192">
        <v>-0.47688264182974011</v>
      </c>
      <c r="Q98" s="192">
        <v>0.25596256304729181</v>
      </c>
      <c r="R98" s="192">
        <v>0.19139191125148558</v>
      </c>
      <c r="S98" s="192">
        <v>1</v>
      </c>
      <c r="T98" s="192"/>
      <c r="U98" s="192"/>
      <c r="V98" s="192"/>
      <c r="W98" s="192"/>
      <c r="X98" s="192"/>
      <c r="Y98" s="192"/>
      <c r="Z98" s="191"/>
      <c r="AA98" s="191"/>
      <c r="AB98" s="191"/>
      <c r="AC98" s="191"/>
      <c r="AD98" s="191"/>
      <c r="AE98" s="191"/>
      <c r="AF98" s="191"/>
      <c r="AG98" s="316"/>
      <c r="AH98" s="191"/>
    </row>
    <row r="99" spans="1:36" ht="20.25" customHeight="1">
      <c r="B99" s="291"/>
      <c r="C99" s="283"/>
      <c r="D99" s="192" t="s">
        <v>8</v>
      </c>
      <c r="E99" s="192">
        <v>-5.9866046842223589E-2</v>
      </c>
      <c r="F99" s="192">
        <v>0.25761086421252066</v>
      </c>
      <c r="G99" s="192">
        <v>0.23453903295830364</v>
      </c>
      <c r="H99" s="192">
        <v>0.30056736937883044</v>
      </c>
      <c r="I99" s="192">
        <v>8.7311093384465036E-2</v>
      </c>
      <c r="J99" s="192">
        <v>0.32490188186532432</v>
      </c>
      <c r="K99" s="192">
        <v>0.10821740368388505</v>
      </c>
      <c r="L99" s="192">
        <v>0.2126141951013216</v>
      </c>
      <c r="M99" s="192">
        <v>0.22298217703518877</v>
      </c>
      <c r="N99" s="192">
        <v>0.29554077239620413</v>
      </c>
      <c r="O99" s="192">
        <v>0.24168524951319389</v>
      </c>
      <c r="P99" s="192">
        <v>-0.18338283461888091</v>
      </c>
      <c r="Q99" s="192">
        <v>-0.2023618767954983</v>
      </c>
      <c r="R99" s="192">
        <v>-0.25441646970672727</v>
      </c>
      <c r="S99" s="192">
        <v>0.40139722794192784</v>
      </c>
      <c r="T99" s="192">
        <v>1</v>
      </c>
      <c r="U99" s="192"/>
      <c r="V99" s="192"/>
      <c r="W99" s="192"/>
      <c r="X99" s="192"/>
      <c r="Y99" s="192"/>
      <c r="Z99" s="191"/>
      <c r="AA99" s="191"/>
      <c r="AB99" s="191"/>
      <c r="AC99" s="191"/>
      <c r="AD99" s="191"/>
      <c r="AE99" s="191"/>
      <c r="AF99" s="191"/>
      <c r="AG99" s="316"/>
      <c r="AH99" s="191"/>
    </row>
    <row r="100" spans="1:36" ht="20.25" customHeight="1">
      <c r="B100" s="291"/>
      <c r="C100" s="283"/>
      <c r="D100" s="192" t="s">
        <v>5</v>
      </c>
      <c r="E100" s="192">
        <v>-0.66407345180374433</v>
      </c>
      <c r="F100" s="192">
        <v>0.44735674020658561</v>
      </c>
      <c r="G100" s="192">
        <v>0.39856780380666507</v>
      </c>
      <c r="H100" s="192">
        <v>0.2071682186258185</v>
      </c>
      <c r="I100" s="192">
        <v>0.55220794800699213</v>
      </c>
      <c r="J100" s="192">
        <v>0.19737941963692199</v>
      </c>
      <c r="K100" s="192">
        <v>2.0741830272750981E-2</v>
      </c>
      <c r="L100" s="192">
        <v>0.11925822389712695</v>
      </c>
      <c r="M100" s="192">
        <v>-1.108164388411453E-2</v>
      </c>
      <c r="N100" s="192">
        <v>0.17788830860598256</v>
      </c>
      <c r="O100" s="192">
        <v>-0.12694694225409855</v>
      </c>
      <c r="P100" s="192">
        <v>-0.24766817751257009</v>
      </c>
      <c r="Q100" s="192">
        <v>-1.2416653792617176E-2</v>
      </c>
      <c r="R100" s="192">
        <v>-3.6329847874562241E-2</v>
      </c>
      <c r="S100" s="192">
        <v>0.19149053539767005</v>
      </c>
      <c r="T100" s="192">
        <v>3.1791754978747665E-2</v>
      </c>
      <c r="U100" s="192">
        <v>1</v>
      </c>
      <c r="V100" s="192"/>
      <c r="W100" s="192"/>
      <c r="X100" s="192"/>
      <c r="Y100" s="192"/>
      <c r="Z100" s="191"/>
      <c r="AA100" s="191"/>
      <c r="AB100" s="191"/>
      <c r="AC100" s="191"/>
      <c r="AD100" s="191"/>
      <c r="AE100" s="191"/>
      <c r="AF100" s="191"/>
      <c r="AG100" s="316"/>
      <c r="AH100" s="191"/>
    </row>
    <row r="101" spans="1:36" ht="20.25" customHeight="1">
      <c r="B101" s="291"/>
      <c r="C101" s="283"/>
      <c r="D101" s="192" t="s">
        <v>7</v>
      </c>
      <c r="E101" s="192">
        <v>-6.72219670070235E-2</v>
      </c>
      <c r="F101" s="192">
        <v>-6.9003083923008149E-2</v>
      </c>
      <c r="G101" s="192">
        <v>-4.5934184623507041E-2</v>
      </c>
      <c r="H101" s="192">
        <v>-6.9763526001001774E-2</v>
      </c>
      <c r="I101" s="192">
        <v>0.14726015303511572</v>
      </c>
      <c r="J101" s="192">
        <v>2.2090472793096168E-2</v>
      </c>
      <c r="K101" s="192">
        <v>-8.6641795869425178E-2</v>
      </c>
      <c r="L101" s="192">
        <v>4.866159898620407E-2</v>
      </c>
      <c r="M101" s="192">
        <v>-0.24649925499681971</v>
      </c>
      <c r="N101" s="192">
        <v>-9.7241883037166799E-2</v>
      </c>
      <c r="O101" s="192">
        <v>-4.7714689330566253E-2</v>
      </c>
      <c r="P101" s="192">
        <v>-9.6379691189214411E-2</v>
      </c>
      <c r="Q101" s="192">
        <v>-6.9229047013346978E-2</v>
      </c>
      <c r="R101" s="192">
        <v>-0.11008076153251588</v>
      </c>
      <c r="S101" s="192">
        <v>-7.0456708845152982E-2</v>
      </c>
      <c r="T101" s="192">
        <v>8.5161698583201634E-2</v>
      </c>
      <c r="U101" s="192">
        <v>9.3613940415807312E-2</v>
      </c>
      <c r="V101" s="192">
        <v>1</v>
      </c>
      <c r="W101" s="192"/>
      <c r="X101" s="192"/>
      <c r="Y101" s="192"/>
      <c r="Z101" s="191"/>
      <c r="AA101" s="191"/>
      <c r="AB101" s="191"/>
      <c r="AC101" s="191"/>
      <c r="AD101" s="191"/>
      <c r="AE101" s="191"/>
      <c r="AF101" s="191"/>
      <c r="AG101" s="316"/>
      <c r="AH101" s="191"/>
    </row>
    <row r="102" spans="1:36" ht="20.25" customHeight="1">
      <c r="B102" s="291"/>
      <c r="C102" s="283"/>
      <c r="D102" s="192" t="s">
        <v>6</v>
      </c>
      <c r="E102" s="192">
        <v>0.10283884890994462</v>
      </c>
      <c r="F102" s="192">
        <v>-0.46035509331804719</v>
      </c>
      <c r="G102" s="192">
        <v>-0.50871389179919535</v>
      </c>
      <c r="H102" s="192">
        <v>-0.47211642435672896</v>
      </c>
      <c r="I102" s="192">
        <v>-0.10027324760716662</v>
      </c>
      <c r="J102" s="192">
        <v>-0.66603944933099735</v>
      </c>
      <c r="K102" s="192">
        <v>-0.51839148473341945</v>
      </c>
      <c r="L102" s="192">
        <v>-0.58308674202044131</v>
      </c>
      <c r="M102" s="192">
        <v>0.12439683907725474</v>
      </c>
      <c r="N102" s="192">
        <v>-6.2683272413288221E-2</v>
      </c>
      <c r="O102" s="192">
        <v>-0.54443827665192102</v>
      </c>
      <c r="P102" s="192">
        <v>0.12455098180875629</v>
      </c>
      <c r="Q102" s="192">
        <v>0.56387901190181944</v>
      </c>
      <c r="R102" s="192">
        <v>0.60082834502820726</v>
      </c>
      <c r="S102" s="192">
        <v>-9.0342485608280274E-2</v>
      </c>
      <c r="T102" s="192">
        <v>-0.14568082775658822</v>
      </c>
      <c r="U102" s="192">
        <v>3.3577536842242656E-2</v>
      </c>
      <c r="V102" s="192">
        <v>-0.25460936819400087</v>
      </c>
      <c r="W102" s="192">
        <v>1</v>
      </c>
      <c r="X102" s="192"/>
      <c r="Y102" s="192"/>
      <c r="Z102" s="191"/>
      <c r="AA102" s="191"/>
      <c r="AB102" s="191"/>
      <c r="AC102" s="191"/>
      <c r="AD102" s="191"/>
      <c r="AE102" s="191"/>
      <c r="AF102" s="191"/>
      <c r="AG102" s="316"/>
      <c r="AH102" s="191"/>
    </row>
    <row r="103" spans="1:36" ht="20.25" customHeight="1">
      <c r="B103" s="291"/>
      <c r="C103" s="283"/>
      <c r="D103" s="192" t="s">
        <v>10</v>
      </c>
      <c r="E103" s="192">
        <v>0.2124709350396391</v>
      </c>
      <c r="F103" s="192">
        <v>-0.18779024405021924</v>
      </c>
      <c r="G103" s="192">
        <v>-5.0988541389625039E-2</v>
      </c>
      <c r="H103" s="192">
        <v>-5.1697641819081264E-2</v>
      </c>
      <c r="I103" s="192">
        <v>-0.10623424881131648</v>
      </c>
      <c r="J103" s="192">
        <v>5.0468195346992595E-2</v>
      </c>
      <c r="K103" s="192">
        <v>0.19682630364806508</v>
      </c>
      <c r="L103" s="192">
        <v>0.18504194189420156</v>
      </c>
      <c r="M103" s="192">
        <v>-0.13845548869396271</v>
      </c>
      <c r="N103" s="192">
        <v>-1.9762004865439751E-2</v>
      </c>
      <c r="O103" s="192">
        <v>0.31783935493956822</v>
      </c>
      <c r="P103" s="192">
        <v>0.19846084689286012</v>
      </c>
      <c r="Q103" s="192">
        <v>-0.15348745682146056</v>
      </c>
      <c r="R103" s="192">
        <v>-0.1020262132964896</v>
      </c>
      <c r="S103" s="192">
        <v>-4.0069514122355161E-2</v>
      </c>
      <c r="T103" s="192">
        <v>-5.7191457409002902E-2</v>
      </c>
      <c r="U103" s="192">
        <v>-0.13775666114482157</v>
      </c>
      <c r="V103" s="192">
        <v>-2.6114286333291117E-2</v>
      </c>
      <c r="W103" s="192">
        <v>-0.14479918011718546</v>
      </c>
      <c r="X103" s="192">
        <v>1</v>
      </c>
      <c r="Y103" s="192"/>
      <c r="Z103" s="191"/>
      <c r="AA103" s="191"/>
      <c r="AB103" s="191"/>
      <c r="AC103" s="191"/>
      <c r="AD103" s="191"/>
      <c r="AE103" s="191"/>
      <c r="AF103" s="191"/>
      <c r="AG103" s="316"/>
      <c r="AH103" s="191"/>
    </row>
    <row r="104" spans="1:36" ht="20.25" customHeight="1">
      <c r="B104" s="291"/>
      <c r="C104" s="283"/>
      <c r="D104" s="192" t="s">
        <v>84</v>
      </c>
      <c r="E104" s="192">
        <v>-7.9978224642703502E-2</v>
      </c>
      <c r="F104" s="192">
        <v>0.57781559829215001</v>
      </c>
      <c r="G104" s="192">
        <v>0.68292001567796135</v>
      </c>
      <c r="H104" s="192">
        <v>0.75932529974151231</v>
      </c>
      <c r="I104" s="192">
        <v>0.11933622657049443</v>
      </c>
      <c r="J104" s="192">
        <v>0.83530487933729647</v>
      </c>
      <c r="K104" s="306">
        <v>0.87414480252451143</v>
      </c>
      <c r="L104" s="192">
        <v>0.55317323679844388</v>
      </c>
      <c r="M104" s="192">
        <v>7.9443083881930845E-2</v>
      </c>
      <c r="N104" s="192">
        <v>6.7983505799442637E-2</v>
      </c>
      <c r="O104" s="192">
        <v>0.80813882253622105</v>
      </c>
      <c r="P104" s="307">
        <v>-8.5267150277856821E-2</v>
      </c>
      <c r="Q104" s="192">
        <v>-0.68575133602704008</v>
      </c>
      <c r="R104" s="192">
        <v>-0.69759909164655676</v>
      </c>
      <c r="S104" s="192">
        <v>0.10567948235973916</v>
      </c>
      <c r="T104" s="192">
        <v>0.17792622463097807</v>
      </c>
      <c r="U104" s="196">
        <v>3.1835265845609771E-2</v>
      </c>
      <c r="V104" s="192">
        <v>-5.8866138610513263E-2</v>
      </c>
      <c r="W104" s="192">
        <v>-0.6019502965330914</v>
      </c>
      <c r="X104" s="192">
        <v>0.32497330108095646</v>
      </c>
      <c r="Y104" s="192">
        <v>1</v>
      </c>
      <c r="Z104" s="191"/>
      <c r="AA104" s="191"/>
      <c r="AB104" s="191"/>
      <c r="AC104" s="191"/>
      <c r="AD104" s="191"/>
      <c r="AE104" s="191"/>
      <c r="AF104" s="191"/>
      <c r="AG104" s="316"/>
      <c r="AH104" s="191"/>
    </row>
    <row r="105" spans="1:36" ht="20.25" customHeight="1">
      <c r="B105" s="291"/>
      <c r="C105" s="283"/>
      <c r="D105" s="191"/>
      <c r="E105" s="191"/>
      <c r="F105" s="191"/>
      <c r="G105" s="191"/>
      <c r="H105" s="191"/>
      <c r="I105" s="191"/>
      <c r="J105" s="191"/>
      <c r="K105" s="191"/>
      <c r="L105" s="191"/>
      <c r="M105" s="191"/>
      <c r="N105" s="191"/>
      <c r="O105" s="191"/>
      <c r="P105" s="191"/>
      <c r="Q105" s="191"/>
      <c r="R105" s="191"/>
      <c r="S105" s="191"/>
      <c r="T105" s="191"/>
      <c r="U105" s="191"/>
      <c r="V105" s="191"/>
      <c r="W105" s="191"/>
      <c r="X105" s="191"/>
      <c r="Y105" s="191"/>
      <c r="Z105" s="191"/>
      <c r="AA105" s="191"/>
      <c r="AB105" s="191"/>
      <c r="AC105" s="191"/>
      <c r="AD105" s="191"/>
      <c r="AE105" s="191"/>
      <c r="AF105" s="191"/>
      <c r="AG105" s="316"/>
      <c r="AH105" s="191"/>
    </row>
    <row r="106" spans="1:36" ht="20.25" customHeight="1">
      <c r="B106" s="291"/>
      <c r="C106" s="283"/>
      <c r="D106" s="191"/>
      <c r="E106" s="191"/>
      <c r="F106" s="191"/>
      <c r="G106" s="191"/>
      <c r="H106" s="191"/>
      <c r="I106" s="191"/>
      <c r="J106" s="191"/>
      <c r="K106" s="191"/>
      <c r="L106" s="191"/>
      <c r="M106" s="191"/>
      <c r="N106" s="191"/>
      <c r="O106" s="191"/>
      <c r="P106" s="191"/>
      <c r="Q106" s="191"/>
      <c r="R106" s="191"/>
      <c r="S106" s="191"/>
      <c r="T106" s="191"/>
      <c r="U106" s="191"/>
      <c r="V106" s="191"/>
      <c r="W106" s="191"/>
      <c r="X106" s="191"/>
      <c r="Y106" s="191"/>
      <c r="Z106" s="191"/>
      <c r="AA106" s="191"/>
      <c r="AB106" s="191"/>
      <c r="AC106" s="191"/>
      <c r="AD106" s="191"/>
      <c r="AE106" s="191"/>
      <c r="AF106" s="191"/>
      <c r="AG106" s="316"/>
      <c r="AH106" s="191"/>
    </row>
    <row r="107" spans="1:36" ht="20.25" customHeight="1">
      <c r="B107" s="291"/>
      <c r="C107" s="283"/>
      <c r="D107" s="191"/>
      <c r="E107" s="191"/>
      <c r="F107" s="191"/>
      <c r="G107" s="191"/>
      <c r="H107" s="191"/>
      <c r="I107" s="191"/>
      <c r="J107" s="191"/>
      <c r="K107" s="191"/>
      <c r="L107" s="191"/>
      <c r="M107" s="191"/>
      <c r="N107" s="191"/>
      <c r="O107" s="191"/>
      <c r="P107" s="191"/>
      <c r="Q107" s="191"/>
      <c r="R107" s="191"/>
      <c r="S107" s="191"/>
      <c r="T107" s="191"/>
      <c r="U107" s="191"/>
      <c r="V107" s="191"/>
      <c r="W107" s="191"/>
      <c r="X107" s="191"/>
      <c r="Y107" s="191"/>
      <c r="Z107" s="191"/>
      <c r="AA107" s="191"/>
      <c r="AB107" s="191"/>
      <c r="AC107" s="191"/>
      <c r="AD107" s="191"/>
      <c r="AE107" s="191"/>
      <c r="AF107" s="191"/>
      <c r="AG107" s="316"/>
      <c r="AH107" s="191"/>
    </row>
    <row r="108" spans="1:36" ht="20.25" customHeight="1">
      <c r="B108" s="317"/>
      <c r="C108" s="318"/>
      <c r="D108" s="319"/>
      <c r="E108" s="319"/>
      <c r="F108" s="319"/>
      <c r="G108" s="319"/>
      <c r="H108" s="319"/>
      <c r="I108" s="319"/>
      <c r="J108" s="319"/>
      <c r="K108" s="319"/>
      <c r="L108" s="319"/>
      <c r="M108" s="319"/>
      <c r="N108" s="319"/>
      <c r="O108" s="319"/>
      <c r="P108" s="319"/>
      <c r="Q108" s="319"/>
      <c r="R108" s="319"/>
      <c r="S108" s="319"/>
      <c r="T108" s="319"/>
      <c r="U108" s="319"/>
      <c r="V108" s="319"/>
      <c r="W108" s="319"/>
      <c r="X108" s="319"/>
      <c r="Y108" s="319"/>
      <c r="Z108" s="319"/>
      <c r="AA108" s="319"/>
      <c r="AB108" s="319"/>
      <c r="AC108" s="319"/>
      <c r="AD108" s="319"/>
      <c r="AE108" s="319"/>
      <c r="AF108" s="319"/>
      <c r="AG108" s="320"/>
      <c r="AH108" s="191"/>
    </row>
    <row r="109" spans="1:36" ht="20.25" customHeight="1">
      <c r="B109" s="284"/>
      <c r="C109" s="283"/>
      <c r="D109" s="191"/>
      <c r="E109" s="191"/>
      <c r="F109" s="191"/>
      <c r="G109" s="191"/>
      <c r="H109" s="191"/>
      <c r="I109" s="191"/>
      <c r="J109" s="191"/>
      <c r="K109" s="191"/>
      <c r="L109" s="191"/>
      <c r="M109" s="191"/>
      <c r="N109" s="191"/>
      <c r="O109" s="191"/>
      <c r="P109" s="191"/>
      <c r="Q109" s="191"/>
      <c r="R109" s="191"/>
      <c r="S109" s="191"/>
      <c r="T109" s="191"/>
      <c r="U109" s="191"/>
      <c r="V109" s="191"/>
      <c r="W109" s="191"/>
      <c r="X109" s="191"/>
      <c r="Y109" s="191"/>
      <c r="Z109" s="191"/>
      <c r="AA109" s="191"/>
      <c r="AB109" s="191"/>
      <c r="AC109" s="191"/>
      <c r="AD109" s="191"/>
      <c r="AE109" s="191"/>
      <c r="AF109" s="191"/>
      <c r="AG109" s="191"/>
      <c r="AH109" s="191"/>
    </row>
    <row r="110" spans="1:36" ht="20.25" customHeight="1">
      <c r="B110" s="190"/>
      <c r="C110" s="190"/>
      <c r="D110" s="190"/>
      <c r="E110" s="190"/>
      <c r="F110" s="308" t="s">
        <v>35</v>
      </c>
      <c r="G110" s="190"/>
      <c r="H110" s="190"/>
      <c r="I110" s="190"/>
      <c r="J110" s="190"/>
      <c r="K110" s="190"/>
      <c r="L110" s="190"/>
      <c r="M110" s="190"/>
      <c r="N110" s="190"/>
      <c r="O110" s="190"/>
      <c r="P110" s="190"/>
      <c r="Q110" s="190"/>
      <c r="R110" s="190"/>
      <c r="S110" s="190"/>
      <c r="T110" s="190"/>
      <c r="U110" s="190"/>
      <c r="V110" s="190"/>
      <c r="W110" s="190"/>
      <c r="X110" s="190"/>
      <c r="Y110" s="190"/>
      <c r="Z110" s="190"/>
      <c r="AA110" s="190"/>
      <c r="AB110" s="190"/>
      <c r="AC110" s="190"/>
      <c r="AD110" s="190"/>
      <c r="AE110" s="190"/>
      <c r="AF110" s="190"/>
      <c r="AG110" s="190"/>
      <c r="AH110" s="190"/>
    </row>
    <row r="111" spans="1:36" ht="20.25" customHeight="1">
      <c r="B111" s="309" t="s">
        <v>67</v>
      </c>
      <c r="C111" s="310"/>
      <c r="D111" s="190"/>
      <c r="E111" s="190"/>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row>
    <row r="112" spans="1:36" ht="20.25" customHeight="1">
      <c r="A112" s="1" t="s">
        <v>66</v>
      </c>
      <c r="C112" s="190"/>
      <c r="D112" s="190"/>
      <c r="E112" s="190"/>
      <c r="F112" s="190"/>
      <c r="G112" s="190"/>
      <c r="H112" s="190"/>
      <c r="I112" s="190"/>
      <c r="J112" s="190"/>
      <c r="K112" s="190"/>
      <c r="L112" s="190"/>
      <c r="M112" s="190"/>
      <c r="N112" s="190"/>
      <c r="O112" s="190"/>
      <c r="P112" s="190"/>
      <c r="Q112" s="190"/>
      <c r="R112" s="190"/>
      <c r="S112" s="190"/>
      <c r="T112" s="190"/>
      <c r="U112" s="190"/>
      <c r="V112" s="190"/>
      <c r="W112" s="190"/>
      <c r="X112" s="190"/>
      <c r="Y112" s="190"/>
      <c r="Z112" s="190"/>
      <c r="AA112" s="190"/>
      <c r="AB112" s="190"/>
      <c r="AC112" s="190"/>
      <c r="AD112" s="190"/>
      <c r="AE112" s="190"/>
      <c r="AF112" s="190"/>
      <c r="AG112" s="190"/>
      <c r="AH112" s="190"/>
      <c r="AI112" s="190"/>
      <c r="AJ112" s="190"/>
    </row>
    <row r="113" spans="2:36" ht="20.25" customHeight="1">
      <c r="B113" s="286"/>
      <c r="C113" s="287"/>
      <c r="D113" s="287"/>
      <c r="E113" s="287"/>
      <c r="F113" s="287"/>
      <c r="G113" s="287"/>
      <c r="H113" s="287"/>
      <c r="I113" s="287"/>
      <c r="J113" s="287"/>
      <c r="K113" s="287"/>
      <c r="L113" s="287"/>
      <c r="M113" s="287"/>
      <c r="N113" s="287"/>
      <c r="O113" s="287"/>
      <c r="P113" s="287"/>
      <c r="Q113" s="287"/>
      <c r="R113" s="287"/>
      <c r="S113" s="287"/>
      <c r="T113" s="287"/>
      <c r="U113" s="287"/>
      <c r="V113" s="287"/>
      <c r="W113" s="287"/>
      <c r="X113" s="287"/>
      <c r="Y113" s="287"/>
      <c r="Z113" s="287"/>
      <c r="AA113" s="287"/>
      <c r="AB113" s="287"/>
      <c r="AC113" s="287"/>
      <c r="AD113" s="287"/>
      <c r="AE113" s="287"/>
      <c r="AF113" s="287"/>
      <c r="AG113" s="287"/>
      <c r="AH113" s="288"/>
      <c r="AI113" s="190"/>
      <c r="AJ113" s="190"/>
    </row>
    <row r="114" spans="2:36" ht="20.25" customHeight="1">
      <c r="B114" s="289"/>
      <c r="C114" s="190"/>
      <c r="D114" s="190"/>
      <c r="E114" s="190"/>
      <c r="F114" s="190"/>
      <c r="G114" s="190"/>
      <c r="H114" s="190"/>
      <c r="I114" s="190"/>
      <c r="J114" s="190"/>
      <c r="K114" s="190"/>
      <c r="L114" s="190"/>
      <c r="M114" s="190"/>
      <c r="N114" s="190"/>
      <c r="O114" s="190"/>
      <c r="P114" s="190"/>
      <c r="Q114" s="190"/>
      <c r="R114" s="190"/>
      <c r="S114" s="190"/>
      <c r="T114" s="190"/>
      <c r="U114" s="190"/>
      <c r="V114" s="190"/>
      <c r="W114" s="190"/>
      <c r="X114" s="190"/>
      <c r="Y114" s="190"/>
      <c r="Z114" s="190"/>
      <c r="AA114" s="190"/>
      <c r="AB114" s="190"/>
      <c r="AC114" s="190"/>
      <c r="AD114" s="190"/>
      <c r="AE114" s="190"/>
      <c r="AF114" s="190"/>
      <c r="AG114" s="190"/>
      <c r="AH114" s="199"/>
      <c r="AI114" s="190"/>
      <c r="AJ114" s="190"/>
    </row>
    <row r="115" spans="2:36" ht="20.25" customHeight="1">
      <c r="B115" s="289"/>
      <c r="C115" s="190"/>
      <c r="D115" s="190"/>
      <c r="E115" s="190"/>
      <c r="F115" s="190"/>
      <c r="G115" s="190"/>
      <c r="H115" s="190"/>
      <c r="I115" s="190"/>
      <c r="J115" s="190"/>
      <c r="K115" s="190"/>
      <c r="L115" s="190"/>
      <c r="M115" s="190"/>
      <c r="N115" s="190"/>
      <c r="O115" s="190"/>
      <c r="P115" s="190"/>
      <c r="Q115" s="190"/>
      <c r="R115" s="190"/>
      <c r="S115" s="190"/>
      <c r="T115" s="190"/>
      <c r="U115" s="190"/>
      <c r="V115" s="190"/>
      <c r="W115" s="190"/>
      <c r="X115" s="190"/>
      <c r="Y115" s="190"/>
      <c r="Z115" s="190"/>
      <c r="AA115" s="190"/>
      <c r="AB115" s="190"/>
      <c r="AC115" s="190"/>
      <c r="AD115" s="190"/>
      <c r="AE115" s="190"/>
      <c r="AF115" s="190"/>
      <c r="AG115" s="190"/>
      <c r="AH115" s="199"/>
      <c r="AI115" s="190"/>
      <c r="AJ115" s="190"/>
    </row>
    <row r="116" spans="2:36" ht="20.25" customHeight="1">
      <c r="B116" s="289"/>
      <c r="C116" s="190"/>
      <c r="D116" s="190"/>
      <c r="E116" s="190"/>
      <c r="F116" s="190"/>
      <c r="G116" s="190"/>
      <c r="H116" s="190"/>
      <c r="I116" s="190"/>
      <c r="J116" s="190"/>
      <c r="K116" s="190"/>
      <c r="L116" s="190"/>
      <c r="M116" s="190"/>
      <c r="N116" s="190"/>
      <c r="O116" s="190"/>
      <c r="P116" s="190"/>
      <c r="Q116" s="190"/>
      <c r="R116" s="190"/>
      <c r="S116" s="190"/>
      <c r="T116" s="190"/>
      <c r="U116" s="190"/>
      <c r="V116" s="190"/>
      <c r="W116" s="190"/>
      <c r="X116" s="190"/>
      <c r="Y116" s="190"/>
      <c r="Z116" s="190"/>
      <c r="AA116" s="190"/>
      <c r="AB116" s="190"/>
      <c r="AC116" s="190"/>
      <c r="AD116" s="190"/>
      <c r="AE116" s="190"/>
      <c r="AF116" s="190"/>
      <c r="AG116" s="190"/>
      <c r="AH116" s="199"/>
      <c r="AI116" s="190"/>
      <c r="AJ116" s="190"/>
    </row>
    <row r="117" spans="2:36" ht="20.25" customHeight="1">
      <c r="B117" s="289"/>
      <c r="C117" s="190"/>
      <c r="D117" s="190"/>
      <c r="E117" s="190"/>
      <c r="F117" s="190"/>
      <c r="G117" s="190"/>
      <c r="H117" s="190"/>
      <c r="I117" s="190"/>
      <c r="J117" s="190"/>
      <c r="K117" s="190"/>
      <c r="L117" s="190"/>
      <c r="M117" s="190"/>
      <c r="N117" s="190"/>
      <c r="O117" s="190"/>
      <c r="P117" s="190"/>
      <c r="Q117" s="190"/>
      <c r="R117" s="190"/>
      <c r="S117" s="190"/>
      <c r="T117" s="190"/>
      <c r="U117" s="190"/>
      <c r="V117" s="190"/>
      <c r="W117" s="190"/>
      <c r="X117" s="190"/>
      <c r="Y117" s="190"/>
      <c r="Z117" s="190"/>
      <c r="AA117" s="190"/>
      <c r="AB117" s="190"/>
      <c r="AC117" s="190"/>
      <c r="AD117" s="190"/>
      <c r="AE117" s="190"/>
      <c r="AF117" s="190"/>
      <c r="AG117" s="190"/>
      <c r="AH117" s="199"/>
      <c r="AI117" s="190"/>
      <c r="AJ117" s="190"/>
    </row>
    <row r="118" spans="2:36" ht="20.25" customHeight="1">
      <c r="B118" s="289"/>
      <c r="C118" s="190"/>
      <c r="D118" s="190"/>
      <c r="E118" s="190"/>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9"/>
      <c r="AI118" s="190"/>
      <c r="AJ118" s="190"/>
    </row>
    <row r="119" spans="2:36" ht="20.25" customHeight="1">
      <c r="B119" s="289"/>
      <c r="C119" s="190"/>
      <c r="D119" s="190"/>
      <c r="E119" s="190"/>
      <c r="F119" s="190"/>
      <c r="G119" s="190"/>
      <c r="H119" s="190"/>
      <c r="I119" s="190"/>
      <c r="J119" s="190"/>
      <c r="K119" s="190"/>
      <c r="L119" s="190"/>
      <c r="M119" s="190"/>
      <c r="N119" s="190"/>
      <c r="O119" s="190"/>
      <c r="P119" s="190"/>
      <c r="Q119" s="190"/>
      <c r="R119" s="190"/>
      <c r="S119" s="190"/>
      <c r="T119" s="190"/>
      <c r="U119" s="190"/>
      <c r="V119" s="190"/>
      <c r="W119" s="190"/>
      <c r="X119" s="190"/>
      <c r="Y119" s="190"/>
      <c r="Z119" s="190"/>
      <c r="AA119" s="190"/>
      <c r="AB119" s="190"/>
      <c r="AC119" s="190"/>
      <c r="AD119" s="190"/>
      <c r="AE119" s="190"/>
      <c r="AF119" s="190"/>
      <c r="AG119" s="190"/>
      <c r="AH119" s="199"/>
      <c r="AI119" s="190"/>
      <c r="AJ119" s="190"/>
    </row>
    <row r="120" spans="2:36" ht="20.25" customHeight="1">
      <c r="B120" s="289"/>
      <c r="C120" s="190"/>
      <c r="D120" s="190"/>
      <c r="E120" s="190"/>
      <c r="F120" s="190"/>
      <c r="G120" s="190"/>
      <c r="H120" s="190"/>
      <c r="I120" s="190"/>
      <c r="J120" s="190"/>
      <c r="K120" s="190"/>
      <c r="L120" s="190"/>
      <c r="M120" s="190"/>
      <c r="N120" s="190"/>
      <c r="O120" s="190"/>
      <c r="P120" s="190"/>
      <c r="Q120" s="190"/>
      <c r="R120" s="190"/>
      <c r="S120" s="190"/>
      <c r="T120" s="190"/>
      <c r="U120" s="190"/>
      <c r="V120" s="190"/>
      <c r="W120" s="190"/>
      <c r="X120" s="190"/>
      <c r="Y120" s="190"/>
      <c r="Z120" s="190"/>
      <c r="AA120" s="190"/>
      <c r="AB120" s="190"/>
      <c r="AC120" s="190"/>
      <c r="AD120" s="190"/>
      <c r="AE120" s="190"/>
      <c r="AF120" s="190"/>
      <c r="AG120" s="190"/>
      <c r="AH120" s="199"/>
      <c r="AI120" s="190"/>
      <c r="AJ120" s="190"/>
    </row>
    <row r="121" spans="2:36" ht="20.25" customHeight="1">
      <c r="B121" s="289"/>
      <c r="C121" s="190"/>
      <c r="D121" s="190"/>
      <c r="E121" s="190"/>
      <c r="F121" s="190"/>
      <c r="G121" s="190"/>
      <c r="H121" s="190"/>
      <c r="I121" s="190"/>
      <c r="J121" s="190"/>
      <c r="K121" s="190"/>
      <c r="L121" s="190"/>
      <c r="M121" s="190"/>
      <c r="N121" s="190"/>
      <c r="O121" s="190"/>
      <c r="P121" s="190"/>
      <c r="Q121" s="190"/>
      <c r="R121" s="190"/>
      <c r="S121" s="190"/>
      <c r="T121" s="190"/>
      <c r="U121" s="190"/>
      <c r="V121" s="190"/>
      <c r="W121" s="190"/>
      <c r="X121" s="190"/>
      <c r="Y121" s="190"/>
      <c r="Z121" s="190"/>
      <c r="AA121" s="190"/>
      <c r="AB121" s="190"/>
      <c r="AC121" s="190"/>
      <c r="AD121" s="190"/>
      <c r="AE121" s="190"/>
      <c r="AF121" s="190"/>
      <c r="AG121" s="190"/>
      <c r="AH121" s="199"/>
      <c r="AI121" s="190"/>
      <c r="AJ121" s="190"/>
    </row>
    <row r="122" spans="2:36" ht="20.25" customHeight="1">
      <c r="B122" s="289"/>
      <c r="C122" s="190"/>
      <c r="D122" s="190"/>
      <c r="E122" s="190"/>
      <c r="F122" s="190"/>
      <c r="G122" s="190"/>
      <c r="H122" s="190"/>
      <c r="I122" s="190"/>
      <c r="J122" s="190"/>
      <c r="K122" s="190"/>
      <c r="L122" s="190"/>
      <c r="M122" s="190"/>
      <c r="N122" s="190"/>
      <c r="O122" s="190"/>
      <c r="P122" s="190"/>
      <c r="Q122" s="190"/>
      <c r="R122" s="190"/>
      <c r="S122" s="190"/>
      <c r="T122" s="190"/>
      <c r="U122" s="190"/>
      <c r="V122" s="190"/>
      <c r="W122" s="190"/>
      <c r="X122" s="190"/>
      <c r="Y122" s="190"/>
      <c r="Z122" s="190"/>
      <c r="AA122" s="190"/>
      <c r="AB122" s="190"/>
      <c r="AC122" s="190"/>
      <c r="AD122" s="190"/>
      <c r="AE122" s="190"/>
      <c r="AF122" s="190"/>
      <c r="AG122" s="190"/>
      <c r="AH122" s="199"/>
      <c r="AI122" s="190"/>
      <c r="AJ122" s="190"/>
    </row>
    <row r="123" spans="2:36" ht="20.25" customHeight="1">
      <c r="B123" s="289"/>
      <c r="C123" s="190"/>
      <c r="D123" s="190"/>
      <c r="E123" s="190"/>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9"/>
      <c r="AI123" s="190"/>
      <c r="AJ123" s="190"/>
    </row>
    <row r="124" spans="2:36" ht="20.25" customHeight="1">
      <c r="B124" s="289"/>
      <c r="C124" s="190"/>
      <c r="D124" s="190"/>
      <c r="E124" s="190"/>
      <c r="F124" s="190"/>
      <c r="G124" s="190"/>
      <c r="H124" s="190"/>
      <c r="I124" s="190"/>
      <c r="J124" s="190"/>
      <c r="K124" s="190"/>
      <c r="L124" s="190"/>
      <c r="M124" s="190"/>
      <c r="N124" s="190"/>
      <c r="O124" s="190"/>
      <c r="P124" s="190"/>
      <c r="Q124" s="190"/>
      <c r="R124" s="190"/>
      <c r="S124" s="190"/>
      <c r="T124" s="190"/>
      <c r="U124" s="190"/>
      <c r="V124" s="190"/>
      <c r="W124" s="190"/>
      <c r="X124" s="190"/>
      <c r="Y124" s="190"/>
      <c r="Z124" s="190"/>
      <c r="AA124" s="190"/>
      <c r="AB124" s="190"/>
      <c r="AC124" s="190"/>
      <c r="AD124" s="190"/>
      <c r="AE124" s="190"/>
      <c r="AF124" s="190"/>
      <c r="AG124" s="190"/>
      <c r="AH124" s="199"/>
      <c r="AI124" s="190"/>
      <c r="AJ124" s="190"/>
    </row>
    <row r="125" spans="2:36" ht="20.25" customHeight="1">
      <c r="B125" s="289"/>
      <c r="C125" s="190"/>
      <c r="D125" s="190"/>
      <c r="E125" s="190"/>
      <c r="F125" s="190"/>
      <c r="G125" s="190"/>
      <c r="H125" s="190"/>
      <c r="I125" s="190"/>
      <c r="J125" s="190"/>
      <c r="K125" s="190"/>
      <c r="L125" s="190"/>
      <c r="M125" s="190"/>
      <c r="N125" s="190"/>
      <c r="O125" s="190"/>
      <c r="P125" s="190"/>
      <c r="Q125" s="190"/>
      <c r="R125" s="190"/>
      <c r="S125" s="190"/>
      <c r="T125" s="190"/>
      <c r="U125" s="190"/>
      <c r="V125" s="190"/>
      <c r="W125" s="190"/>
      <c r="X125" s="190"/>
      <c r="Y125" s="190"/>
      <c r="Z125" s="190"/>
      <c r="AA125" s="190"/>
      <c r="AB125" s="190"/>
      <c r="AC125" s="190"/>
      <c r="AD125" s="190"/>
      <c r="AE125" s="190"/>
      <c r="AF125" s="190"/>
      <c r="AG125" s="190"/>
      <c r="AH125" s="199"/>
      <c r="AI125" s="190"/>
      <c r="AJ125" s="190"/>
    </row>
    <row r="126" spans="2:36" ht="20.25" customHeight="1">
      <c r="B126" s="289"/>
      <c r="C126" s="190"/>
      <c r="D126" s="190"/>
      <c r="E126" s="190"/>
      <c r="F126" s="190"/>
      <c r="G126" s="190"/>
      <c r="H126" s="190"/>
      <c r="I126" s="190"/>
      <c r="J126" s="190"/>
      <c r="K126" s="190"/>
      <c r="L126" s="190"/>
      <c r="M126" s="190"/>
      <c r="N126" s="190"/>
      <c r="O126" s="190"/>
      <c r="P126" s="190"/>
      <c r="Q126" s="190"/>
      <c r="R126" s="190"/>
      <c r="S126" s="190"/>
      <c r="T126" s="190"/>
      <c r="U126" s="190"/>
      <c r="V126" s="190"/>
      <c r="W126" s="190"/>
      <c r="X126" s="190"/>
      <c r="Y126" s="190"/>
      <c r="Z126" s="190"/>
      <c r="AA126" s="190"/>
      <c r="AB126" s="190"/>
      <c r="AC126" s="190"/>
      <c r="AD126" s="190"/>
      <c r="AE126" s="190"/>
      <c r="AF126" s="190"/>
      <c r="AG126" s="190"/>
      <c r="AH126" s="199"/>
      <c r="AI126" s="190"/>
      <c r="AJ126" s="190"/>
    </row>
    <row r="127" spans="2:36" ht="20.25" customHeight="1">
      <c r="B127" s="289"/>
      <c r="C127" s="190"/>
      <c r="D127" s="190"/>
      <c r="E127" s="190"/>
      <c r="F127" s="190"/>
      <c r="G127" s="190"/>
      <c r="H127" s="190"/>
      <c r="I127" s="190"/>
      <c r="J127" s="190"/>
      <c r="K127" s="190"/>
      <c r="L127" s="190"/>
      <c r="M127" s="190"/>
      <c r="N127" s="190"/>
      <c r="O127" s="190"/>
      <c r="P127" s="190"/>
      <c r="Q127" s="190"/>
      <c r="R127" s="190"/>
      <c r="S127" s="190"/>
      <c r="T127" s="190"/>
      <c r="U127" s="190"/>
      <c r="V127" s="190"/>
      <c r="W127" s="190"/>
      <c r="X127" s="190"/>
      <c r="Y127" s="190"/>
      <c r="Z127" s="190"/>
      <c r="AA127" s="190"/>
      <c r="AB127" s="190"/>
      <c r="AC127" s="190"/>
      <c r="AD127" s="190"/>
      <c r="AE127" s="190"/>
      <c r="AF127" s="190"/>
      <c r="AG127" s="190"/>
      <c r="AH127" s="199"/>
      <c r="AI127" s="190"/>
      <c r="AJ127" s="190"/>
    </row>
    <row r="128" spans="2:36" ht="20.25" customHeight="1">
      <c r="B128" s="289"/>
      <c r="C128" s="190"/>
      <c r="D128" s="190"/>
      <c r="E128" s="190"/>
      <c r="F128" s="190"/>
      <c r="G128" s="190"/>
      <c r="H128" s="190"/>
      <c r="I128" s="190"/>
      <c r="J128" s="190"/>
      <c r="K128" s="190"/>
      <c r="L128" s="190"/>
      <c r="M128" s="190"/>
      <c r="N128" s="190"/>
      <c r="O128" s="190"/>
      <c r="P128" s="190"/>
      <c r="Q128" s="190"/>
      <c r="R128" s="190"/>
      <c r="S128" s="190"/>
      <c r="T128" s="190"/>
      <c r="U128" s="190"/>
      <c r="V128" s="190"/>
      <c r="W128" s="190"/>
      <c r="X128" s="190"/>
      <c r="Y128" s="190"/>
      <c r="Z128" s="190"/>
      <c r="AA128" s="190"/>
      <c r="AB128" s="190"/>
      <c r="AC128" s="190"/>
      <c r="AD128" s="190"/>
      <c r="AE128" s="190"/>
      <c r="AF128" s="190"/>
      <c r="AG128" s="190"/>
      <c r="AH128" s="199"/>
      <c r="AI128" s="190"/>
      <c r="AJ128" s="190"/>
    </row>
    <row r="129" spans="2:36" ht="20.25" customHeight="1">
      <c r="B129" s="289"/>
      <c r="C129" s="190"/>
      <c r="D129" s="249"/>
      <c r="E129" s="280"/>
      <c r="F129" s="67"/>
      <c r="G129" s="250"/>
      <c r="H129" s="190"/>
      <c r="I129" s="190"/>
      <c r="J129" s="190"/>
      <c r="K129" s="249"/>
      <c r="L129" s="280"/>
      <c r="M129" s="67"/>
      <c r="N129" s="250"/>
      <c r="O129" s="190"/>
      <c r="P129" s="190"/>
      <c r="Q129" s="190"/>
      <c r="R129" s="190"/>
      <c r="S129" s="190"/>
      <c r="T129" s="190"/>
      <c r="U129" s="190"/>
      <c r="V129" s="190"/>
      <c r="W129" s="190"/>
      <c r="X129" s="190"/>
      <c r="Y129" s="190"/>
      <c r="Z129" s="190"/>
      <c r="AA129" s="190"/>
      <c r="AB129" s="190"/>
      <c r="AC129" s="190"/>
      <c r="AD129" s="190"/>
      <c r="AE129" s="249"/>
      <c r="AF129" s="280"/>
      <c r="AG129" s="67"/>
      <c r="AH129" s="290"/>
      <c r="AI129" s="190"/>
      <c r="AJ129" s="190"/>
    </row>
    <row r="130" spans="2:36" ht="20.25" customHeight="1">
      <c r="B130" s="289"/>
      <c r="C130" s="190"/>
      <c r="D130" s="190"/>
      <c r="E130" s="190"/>
      <c r="F130" s="190"/>
      <c r="G130" s="190"/>
      <c r="H130" s="190"/>
      <c r="I130" s="190"/>
      <c r="J130" s="190"/>
      <c r="K130" s="190"/>
      <c r="L130" s="190"/>
      <c r="M130" s="190"/>
      <c r="N130" s="190"/>
      <c r="O130" s="190"/>
      <c r="P130" s="190"/>
      <c r="Q130" s="190"/>
      <c r="R130" s="190"/>
      <c r="S130" s="190"/>
      <c r="T130" s="190"/>
      <c r="U130" s="190"/>
      <c r="V130" s="190"/>
      <c r="W130" s="190"/>
      <c r="X130" s="190"/>
      <c r="Y130" s="190"/>
      <c r="Z130" s="190"/>
      <c r="AA130" s="190"/>
      <c r="AB130" s="190"/>
      <c r="AC130" s="190"/>
      <c r="AD130" s="190"/>
      <c r="AE130" s="190"/>
      <c r="AF130" s="190"/>
      <c r="AG130" s="190"/>
      <c r="AH130" s="199"/>
      <c r="AI130" s="190"/>
      <c r="AJ130" s="190"/>
    </row>
    <row r="131" spans="2:36" ht="20.25" customHeight="1">
      <c r="B131" s="289"/>
      <c r="C131" s="190"/>
      <c r="D131" s="190"/>
      <c r="E131" s="281"/>
      <c r="F131" s="281"/>
      <c r="G131" s="190"/>
      <c r="H131" s="282"/>
      <c r="I131" s="281"/>
      <c r="J131" s="190"/>
      <c r="K131" s="282"/>
      <c r="L131" s="281"/>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9"/>
      <c r="AI131" s="190"/>
      <c r="AJ131" s="190"/>
    </row>
    <row r="132" spans="2:36" ht="20.25" customHeight="1">
      <c r="B132" s="289"/>
      <c r="C132" s="190"/>
      <c r="D132" s="190"/>
      <c r="E132" s="281"/>
      <c r="F132" s="281"/>
      <c r="G132" s="190"/>
      <c r="H132" s="282"/>
      <c r="I132" s="281"/>
      <c r="J132" s="190"/>
      <c r="K132" s="282"/>
      <c r="L132" s="281"/>
      <c r="M132" s="190"/>
      <c r="N132" s="190"/>
      <c r="O132" s="190"/>
      <c r="P132" s="190"/>
      <c r="Q132" s="190"/>
      <c r="R132" s="190"/>
      <c r="S132" s="190"/>
      <c r="T132" s="190"/>
      <c r="U132" s="190"/>
      <c r="V132" s="190"/>
      <c r="W132" s="190"/>
      <c r="X132" s="190"/>
      <c r="Y132" s="190"/>
      <c r="Z132" s="190"/>
      <c r="AA132" s="190"/>
      <c r="AB132" s="190"/>
      <c r="AC132" s="190"/>
      <c r="AD132" s="190"/>
      <c r="AE132" s="190"/>
      <c r="AF132" s="190"/>
      <c r="AG132" s="190"/>
      <c r="AH132" s="199"/>
      <c r="AI132" s="190"/>
      <c r="AJ132" s="190"/>
    </row>
    <row r="133" spans="2:36" ht="20.25" customHeight="1">
      <c r="B133" s="289"/>
      <c r="C133" s="190"/>
      <c r="D133" s="190"/>
      <c r="E133" s="281"/>
      <c r="F133" s="281"/>
      <c r="G133" s="190"/>
      <c r="H133" s="282"/>
      <c r="I133" s="281"/>
      <c r="J133" s="190"/>
      <c r="K133" s="282"/>
      <c r="L133" s="281"/>
      <c r="M133" s="190"/>
      <c r="N133" s="190"/>
      <c r="O133" s="190"/>
      <c r="P133" s="190"/>
      <c r="Q133" s="190"/>
      <c r="R133" s="190"/>
      <c r="S133" s="190"/>
      <c r="T133" s="190"/>
      <c r="U133" s="190"/>
      <c r="V133" s="190"/>
      <c r="W133" s="190"/>
      <c r="X133" s="190"/>
      <c r="Y133" s="190"/>
      <c r="Z133" s="190"/>
      <c r="AA133" s="190"/>
      <c r="AB133" s="190"/>
      <c r="AC133" s="190"/>
      <c r="AD133" s="190"/>
      <c r="AE133" s="190"/>
      <c r="AF133" s="190"/>
      <c r="AG133" s="190"/>
      <c r="AH133" s="199"/>
      <c r="AI133" s="190"/>
      <c r="AJ133" s="190"/>
    </row>
    <row r="134" spans="2:36" ht="20.25" customHeight="1">
      <c r="B134" s="291"/>
      <c r="C134" s="283"/>
      <c r="D134" s="283"/>
      <c r="E134" s="283"/>
      <c r="F134" s="284"/>
      <c r="G134" s="284"/>
      <c r="H134" s="284"/>
      <c r="I134" s="284"/>
      <c r="J134" s="284"/>
      <c r="K134" s="283"/>
      <c r="L134" s="284"/>
      <c r="M134" s="283"/>
      <c r="N134" s="284"/>
      <c r="O134" s="283"/>
      <c r="P134" s="283"/>
      <c r="Q134" s="283"/>
      <c r="R134" s="283"/>
      <c r="S134" s="284"/>
      <c r="T134" s="285"/>
      <c r="U134" s="284"/>
      <c r="V134" s="284"/>
      <c r="W134" s="283"/>
      <c r="X134" s="284"/>
      <c r="Y134" s="284"/>
      <c r="Z134" s="283"/>
      <c r="AA134" s="283"/>
      <c r="AB134" s="283"/>
      <c r="AC134" s="284"/>
      <c r="AD134" s="284"/>
      <c r="AE134" s="284"/>
      <c r="AF134" s="284"/>
      <c r="AG134" s="281"/>
      <c r="AH134" s="292"/>
      <c r="AI134" s="190"/>
      <c r="AJ134" s="190"/>
    </row>
    <row r="135" spans="2:36" ht="20.25" customHeight="1">
      <c r="B135" s="291"/>
      <c r="C135" s="283"/>
      <c r="D135" s="283"/>
      <c r="E135" s="283"/>
      <c r="F135" s="284"/>
      <c r="G135" s="284"/>
      <c r="H135" s="284"/>
      <c r="I135" s="284"/>
      <c r="J135" s="284"/>
      <c r="K135" s="283"/>
      <c r="L135" s="284"/>
      <c r="M135" s="283"/>
      <c r="N135" s="284"/>
      <c r="O135" s="283"/>
      <c r="P135" s="283"/>
      <c r="Q135" s="283"/>
      <c r="R135" s="283"/>
      <c r="S135" s="284"/>
      <c r="T135" s="285"/>
      <c r="U135" s="284"/>
      <c r="V135" s="284"/>
      <c r="W135" s="283"/>
      <c r="X135" s="284"/>
      <c r="Y135" s="284"/>
      <c r="Z135" s="283"/>
      <c r="AA135" s="283"/>
      <c r="AB135" s="283"/>
      <c r="AC135" s="284"/>
      <c r="AD135" s="284"/>
      <c r="AE135" s="284"/>
      <c r="AF135" s="284"/>
      <c r="AG135" s="190"/>
      <c r="AH135" s="199"/>
    </row>
    <row r="136" spans="2:36" ht="20.25" customHeight="1">
      <c r="B136" s="289"/>
      <c r="C136" s="293"/>
      <c r="D136" s="293"/>
      <c r="E136" s="294"/>
      <c r="F136" s="294"/>
      <c r="G136" s="295"/>
      <c r="H136" s="294"/>
      <c r="I136" s="190"/>
      <c r="J136" s="296"/>
      <c r="K136" s="297"/>
      <c r="L136" s="190"/>
      <c r="M136" s="190"/>
      <c r="N136" s="190"/>
      <c r="O136" s="190"/>
      <c r="P136" s="190"/>
      <c r="Q136" s="190"/>
      <c r="R136" s="190"/>
      <c r="S136" s="190"/>
      <c r="T136" s="190"/>
      <c r="U136" s="190"/>
      <c r="V136" s="190"/>
      <c r="W136" s="190"/>
      <c r="X136" s="190"/>
      <c r="Y136" s="190"/>
      <c r="Z136" s="190"/>
      <c r="AA136" s="190"/>
      <c r="AB136" s="190"/>
      <c r="AC136" s="190"/>
      <c r="AD136" s="190"/>
      <c r="AE136" s="190"/>
      <c r="AF136" s="190"/>
      <c r="AG136" s="190"/>
      <c r="AH136" s="199"/>
    </row>
    <row r="137" spans="2:36" ht="20.25" customHeight="1">
      <c r="B137" s="289"/>
      <c r="C137" s="293"/>
      <c r="D137" s="293"/>
      <c r="E137" s="294"/>
      <c r="F137" s="294"/>
      <c r="G137" s="295"/>
      <c r="H137" s="294"/>
      <c r="I137" s="190"/>
      <c r="J137" s="296"/>
      <c r="K137" s="297"/>
      <c r="L137" s="190"/>
      <c r="M137" s="190"/>
      <c r="N137" s="190"/>
      <c r="O137" s="190"/>
      <c r="P137" s="190"/>
      <c r="Q137" s="190"/>
      <c r="R137" s="190"/>
      <c r="S137" s="190"/>
      <c r="T137" s="190"/>
      <c r="U137" s="190"/>
      <c r="V137" s="190"/>
      <c r="W137" s="190"/>
      <c r="X137" s="190"/>
      <c r="Y137" s="190"/>
      <c r="Z137" s="190"/>
      <c r="AA137" s="190"/>
      <c r="AB137" s="190"/>
      <c r="AC137" s="190"/>
      <c r="AD137" s="190"/>
      <c r="AE137" s="190"/>
      <c r="AF137" s="190"/>
      <c r="AG137" s="190"/>
      <c r="AH137" s="199"/>
    </row>
    <row r="138" spans="2:36" ht="20.25" customHeight="1">
      <c r="B138" s="131"/>
      <c r="C138" s="298"/>
      <c r="D138" s="298"/>
      <c r="E138" s="299"/>
      <c r="F138" s="299"/>
      <c r="G138" s="300"/>
      <c r="H138" s="299"/>
      <c r="I138" s="129"/>
      <c r="J138" s="301"/>
      <c r="K138" s="302"/>
      <c r="L138" s="129"/>
      <c r="M138" s="129"/>
      <c r="N138" s="129"/>
      <c r="O138" s="129"/>
      <c r="P138" s="129"/>
      <c r="Q138" s="129"/>
      <c r="R138" s="129"/>
      <c r="S138" s="129"/>
      <c r="T138" s="129"/>
      <c r="U138" s="129"/>
      <c r="V138" s="129"/>
      <c r="W138" s="129"/>
      <c r="X138" s="129"/>
      <c r="Y138" s="129"/>
      <c r="Z138" s="129"/>
      <c r="AA138" s="129"/>
      <c r="AB138" s="129"/>
      <c r="AC138" s="129"/>
      <c r="AD138" s="129"/>
      <c r="AE138" s="129"/>
      <c r="AF138" s="129"/>
      <c r="AG138" s="129"/>
      <c r="AH138" s="130"/>
    </row>
    <row r="139" spans="2:36" ht="20.25" customHeight="1">
      <c r="B139" s="64"/>
      <c r="C139" s="125"/>
      <c r="D139" s="125"/>
      <c r="E139" s="126"/>
      <c r="F139" s="126"/>
      <c r="G139" s="127"/>
      <c r="H139" s="126"/>
      <c r="J139" s="128"/>
      <c r="K139" s="53"/>
      <c r="AH139" s="54"/>
    </row>
    <row r="140" spans="2:36" ht="20.25" customHeight="1">
      <c r="E140" s="63"/>
      <c r="F140" s="63"/>
      <c r="H140" s="72"/>
      <c r="I140" s="63"/>
      <c r="K140" s="72"/>
      <c r="L140" s="63"/>
      <c r="AH140" s="54"/>
    </row>
    <row r="141" spans="2:36" ht="20.25" customHeight="1">
      <c r="E141" s="63"/>
      <c r="F141" s="63"/>
      <c r="H141" s="72"/>
      <c r="I141" s="63"/>
      <c r="K141" s="72"/>
      <c r="L141" s="63"/>
      <c r="AH141" s="54"/>
    </row>
    <row r="142" spans="2:36" ht="20.25" customHeight="1">
      <c r="F142" s="65"/>
      <c r="G142" s="70"/>
      <c r="H142" s="65"/>
      <c r="I142" s="71" t="s">
        <v>69</v>
      </c>
      <c r="J142" s="65"/>
      <c r="K142" s="65"/>
      <c r="L142" s="65"/>
      <c r="AH142" s="54"/>
    </row>
    <row r="143" spans="2:36" ht="20.25" customHeight="1">
      <c r="H143" s="63"/>
      <c r="I143" s="63"/>
      <c r="K143" s="72"/>
      <c r="L143" s="63"/>
      <c r="AH143" s="54"/>
    </row>
    <row r="144" spans="2:36" ht="20.25" customHeight="1">
      <c r="E144" s="69" t="s">
        <v>68</v>
      </c>
      <c r="H144" s="63"/>
      <c r="I144" s="63"/>
      <c r="K144" s="72"/>
      <c r="L144" s="63"/>
      <c r="AH144" s="54"/>
    </row>
    <row r="145" spans="2:34" ht="20.25" customHeight="1">
      <c r="E145" s="63"/>
      <c r="F145" s="63"/>
      <c r="H145" s="72"/>
      <c r="I145" s="63"/>
      <c r="K145" s="72"/>
      <c r="L145" s="63"/>
      <c r="AH145" s="54"/>
    </row>
    <row r="146" spans="2:34" ht="20.25" customHeight="1">
      <c r="B146" s="197"/>
      <c r="C146" s="197"/>
      <c r="D146" s="197"/>
      <c r="E146" s="197"/>
      <c r="F146" s="197"/>
      <c r="G146" s="197"/>
      <c r="H146" s="197"/>
      <c r="I146" s="197"/>
      <c r="J146" s="197"/>
      <c r="K146" s="197"/>
      <c r="L146" s="197"/>
      <c r="M146" s="197"/>
      <c r="N146" s="197"/>
      <c r="O146" s="197"/>
      <c r="P146" s="73"/>
      <c r="Q146" s="73"/>
      <c r="R146" s="73"/>
      <c r="S146" s="73"/>
      <c r="T146" s="73"/>
      <c r="U146" s="73"/>
      <c r="V146" s="73"/>
      <c r="AH146" s="54"/>
    </row>
    <row r="147" spans="2:34" s="65" customFormat="1">
      <c r="B147" s="73" t="s">
        <v>70</v>
      </c>
      <c r="C147" s="73" t="s">
        <v>71</v>
      </c>
      <c r="D147" s="73" t="s">
        <v>72</v>
      </c>
      <c r="E147" s="73" t="s">
        <v>73</v>
      </c>
      <c r="F147" s="73" t="s">
        <v>74</v>
      </c>
      <c r="G147" s="198" t="s">
        <v>75</v>
      </c>
      <c r="H147" s="198" t="s">
        <v>76</v>
      </c>
      <c r="I147" s="198" t="s">
        <v>77</v>
      </c>
      <c r="J147" s="198" t="s">
        <v>78</v>
      </c>
      <c r="K147" s="198" t="s">
        <v>79</v>
      </c>
      <c r="L147" s="198" t="s">
        <v>80</v>
      </c>
      <c r="M147" s="198" t="s">
        <v>81</v>
      </c>
      <c r="N147" s="198" t="s">
        <v>82</v>
      </c>
      <c r="O147" s="198" t="s">
        <v>83</v>
      </c>
      <c r="P147" t="s">
        <v>9</v>
      </c>
      <c r="Q147" t="s">
        <v>8</v>
      </c>
      <c r="R147" t="s">
        <v>5</v>
      </c>
      <c r="S147" t="s">
        <v>7</v>
      </c>
      <c r="T147" t="s">
        <v>6</v>
      </c>
      <c r="U147" t="s">
        <v>10</v>
      </c>
      <c r="V147" t="s">
        <v>84</v>
      </c>
      <c r="W147" s="2"/>
      <c r="X147" s="2"/>
      <c r="Y147" s="2"/>
      <c r="Z147" s="2"/>
      <c r="AA147" s="2"/>
      <c r="AB147" s="2"/>
      <c r="AC147" s="2"/>
      <c r="AD147" s="2"/>
      <c r="AE147" s="2"/>
      <c r="AF147" s="2"/>
      <c r="AG147" s="2"/>
      <c r="AH147" s="54"/>
    </row>
    <row r="148" spans="2:34" ht="20.25" customHeight="1">
      <c r="B148">
        <v>3</v>
      </c>
      <c r="C148">
        <v>88.6</v>
      </c>
      <c r="D148">
        <v>168.8</v>
      </c>
      <c r="E148">
        <v>64.099999999999994</v>
      </c>
      <c r="F148">
        <v>48.8</v>
      </c>
      <c r="G148" s="198">
        <v>2548</v>
      </c>
      <c r="H148" s="198">
        <v>130</v>
      </c>
      <c r="I148" s="198">
        <v>3.47</v>
      </c>
      <c r="J148" s="198">
        <v>2.68</v>
      </c>
      <c r="K148" s="198">
        <v>9</v>
      </c>
      <c r="L148" s="198">
        <v>111</v>
      </c>
      <c r="M148" s="198">
        <v>5000</v>
      </c>
      <c r="N148" s="198">
        <v>21</v>
      </c>
      <c r="O148" s="198">
        <v>27</v>
      </c>
      <c r="P148">
        <v>0</v>
      </c>
      <c r="Q148">
        <v>0</v>
      </c>
      <c r="R148">
        <v>0</v>
      </c>
      <c r="S148">
        <v>0</v>
      </c>
      <c r="T148">
        <v>0</v>
      </c>
      <c r="U148">
        <v>0</v>
      </c>
      <c r="V148">
        <v>13495</v>
      </c>
      <c r="AH148" s="54"/>
    </row>
    <row r="149" spans="2:34" ht="20.25" customHeight="1">
      <c r="B149">
        <v>3</v>
      </c>
      <c r="C149">
        <v>88.6</v>
      </c>
      <c r="D149">
        <v>168.8</v>
      </c>
      <c r="E149">
        <v>64.099999999999994</v>
      </c>
      <c r="F149">
        <v>48.8</v>
      </c>
      <c r="G149" s="198">
        <v>2548</v>
      </c>
      <c r="H149" s="198">
        <v>130</v>
      </c>
      <c r="I149" s="198">
        <v>3.47</v>
      </c>
      <c r="J149" s="198">
        <v>2.68</v>
      </c>
      <c r="K149" s="198">
        <v>9</v>
      </c>
      <c r="L149" s="198">
        <v>111</v>
      </c>
      <c r="M149" s="198">
        <v>5000</v>
      </c>
      <c r="N149" s="198">
        <v>21</v>
      </c>
      <c r="O149" s="198">
        <v>27</v>
      </c>
      <c r="P149">
        <v>0</v>
      </c>
      <c r="Q149">
        <v>0</v>
      </c>
      <c r="R149">
        <v>0</v>
      </c>
      <c r="S149">
        <v>0</v>
      </c>
      <c r="T149">
        <v>0</v>
      </c>
      <c r="U149">
        <v>0</v>
      </c>
      <c r="V149">
        <v>16500</v>
      </c>
      <c r="AH149" s="54"/>
    </row>
    <row r="150" spans="2:34" ht="20.25" customHeight="1">
      <c r="B150">
        <v>1</v>
      </c>
      <c r="C150">
        <v>94.5</v>
      </c>
      <c r="D150">
        <v>171.2</v>
      </c>
      <c r="E150">
        <v>65.5</v>
      </c>
      <c r="F150">
        <v>52.4</v>
      </c>
      <c r="G150" s="198">
        <v>2823</v>
      </c>
      <c r="H150" s="198">
        <v>152</v>
      </c>
      <c r="I150" s="198">
        <v>2.68</v>
      </c>
      <c r="J150" s="198">
        <v>3.47</v>
      </c>
      <c r="K150" s="198">
        <v>9</v>
      </c>
      <c r="L150" s="198">
        <v>154</v>
      </c>
      <c r="M150" s="198">
        <v>5000</v>
      </c>
      <c r="N150" s="198">
        <v>19</v>
      </c>
      <c r="O150" s="198">
        <v>26</v>
      </c>
      <c r="P150">
        <v>0</v>
      </c>
      <c r="Q150">
        <v>0</v>
      </c>
      <c r="R150">
        <v>0</v>
      </c>
      <c r="S150">
        <v>0</v>
      </c>
      <c r="T150">
        <v>0</v>
      </c>
      <c r="U150">
        <v>0</v>
      </c>
      <c r="V150">
        <v>16500</v>
      </c>
      <c r="AH150" s="54"/>
    </row>
    <row r="151" spans="2:34" ht="20.25" customHeight="1">
      <c r="B151">
        <v>2</v>
      </c>
      <c r="C151">
        <v>99.8</v>
      </c>
      <c r="D151">
        <v>176.6</v>
      </c>
      <c r="E151">
        <v>66.2</v>
      </c>
      <c r="F151">
        <v>54.3</v>
      </c>
      <c r="G151" s="198">
        <v>2337</v>
      </c>
      <c r="H151" s="198">
        <v>109</v>
      </c>
      <c r="I151" s="198">
        <v>3.19</v>
      </c>
      <c r="J151" s="198">
        <v>3.4</v>
      </c>
      <c r="K151" s="198">
        <v>10</v>
      </c>
      <c r="L151" s="198">
        <v>102</v>
      </c>
      <c r="M151" s="198">
        <v>5500</v>
      </c>
      <c r="N151" s="198">
        <v>24</v>
      </c>
      <c r="O151" s="198">
        <v>30</v>
      </c>
      <c r="P151">
        <v>0</v>
      </c>
      <c r="Q151">
        <v>0</v>
      </c>
      <c r="R151">
        <v>1</v>
      </c>
      <c r="S151">
        <v>0</v>
      </c>
      <c r="T151">
        <v>1</v>
      </c>
      <c r="U151">
        <v>0</v>
      </c>
      <c r="V151">
        <v>13950</v>
      </c>
      <c r="AH151" s="54"/>
    </row>
    <row r="152" spans="2:34" ht="20.25" customHeight="1">
      <c r="B152">
        <v>2</v>
      </c>
      <c r="C152">
        <v>99.4</v>
      </c>
      <c r="D152">
        <v>176.6</v>
      </c>
      <c r="E152">
        <v>66.400000000000006</v>
      </c>
      <c r="F152">
        <v>54.3</v>
      </c>
      <c r="G152" s="198">
        <v>2824</v>
      </c>
      <c r="H152" s="198">
        <v>136</v>
      </c>
      <c r="I152" s="198">
        <v>3.19</v>
      </c>
      <c r="J152" s="198">
        <v>3.4</v>
      </c>
      <c r="K152" s="198">
        <v>8</v>
      </c>
      <c r="L152" s="198">
        <v>115</v>
      </c>
      <c r="M152" s="198">
        <v>5500</v>
      </c>
      <c r="N152" s="198">
        <v>18</v>
      </c>
      <c r="O152" s="198">
        <v>22</v>
      </c>
      <c r="P152">
        <v>0</v>
      </c>
      <c r="Q152">
        <v>0</v>
      </c>
      <c r="R152">
        <v>1</v>
      </c>
      <c r="S152">
        <v>1</v>
      </c>
      <c r="T152">
        <v>0</v>
      </c>
      <c r="U152">
        <v>0</v>
      </c>
      <c r="V152">
        <v>17450</v>
      </c>
      <c r="AH152" s="54"/>
    </row>
    <row r="153" spans="2:34" ht="20.25" customHeight="1">
      <c r="B153">
        <v>2</v>
      </c>
      <c r="C153">
        <v>99.8</v>
      </c>
      <c r="D153">
        <v>177.3</v>
      </c>
      <c r="E153">
        <v>66.3</v>
      </c>
      <c r="F153">
        <v>53.1</v>
      </c>
      <c r="G153" s="198">
        <v>2507</v>
      </c>
      <c r="H153" s="198">
        <v>136</v>
      </c>
      <c r="I153" s="198">
        <v>3.19</v>
      </c>
      <c r="J153" s="198">
        <v>3.4</v>
      </c>
      <c r="K153" s="198">
        <v>8.5</v>
      </c>
      <c r="L153" s="198">
        <v>110</v>
      </c>
      <c r="M153" s="198">
        <v>5500</v>
      </c>
      <c r="N153" s="198">
        <v>19</v>
      </c>
      <c r="O153" s="198">
        <v>25</v>
      </c>
      <c r="P153">
        <v>0</v>
      </c>
      <c r="Q153">
        <v>0</v>
      </c>
      <c r="R153">
        <v>0</v>
      </c>
      <c r="S153">
        <v>0</v>
      </c>
      <c r="T153">
        <v>1</v>
      </c>
      <c r="U153">
        <v>0</v>
      </c>
      <c r="V153">
        <v>15250</v>
      </c>
      <c r="AH153" s="54"/>
    </row>
    <row r="154" spans="2:34" ht="20.25" customHeight="1">
      <c r="B154">
        <v>1</v>
      </c>
      <c r="C154">
        <v>105.8</v>
      </c>
      <c r="D154">
        <v>192.7</v>
      </c>
      <c r="E154">
        <v>71.400000000000006</v>
      </c>
      <c r="F154">
        <v>55.7</v>
      </c>
      <c r="G154" s="198">
        <v>2844</v>
      </c>
      <c r="H154" s="198">
        <v>136</v>
      </c>
      <c r="I154" s="198">
        <v>3.19</v>
      </c>
      <c r="J154" s="198">
        <v>3.4</v>
      </c>
      <c r="K154" s="198">
        <v>8.5</v>
      </c>
      <c r="L154" s="198">
        <v>110</v>
      </c>
      <c r="M154" s="198">
        <v>5500</v>
      </c>
      <c r="N154" s="198">
        <v>19</v>
      </c>
      <c r="O154" s="198">
        <v>25</v>
      </c>
      <c r="P154">
        <v>0</v>
      </c>
      <c r="Q154">
        <v>0</v>
      </c>
      <c r="R154">
        <v>1</v>
      </c>
      <c r="S154">
        <v>0</v>
      </c>
      <c r="T154">
        <v>1</v>
      </c>
      <c r="U154">
        <v>0</v>
      </c>
      <c r="V154">
        <v>17710</v>
      </c>
      <c r="AH154" s="54"/>
    </row>
    <row r="155" spans="2:34" ht="20.25" customHeight="1">
      <c r="B155">
        <v>1</v>
      </c>
      <c r="C155">
        <v>105.8</v>
      </c>
      <c r="D155">
        <v>192.7</v>
      </c>
      <c r="E155">
        <v>71.400000000000006</v>
      </c>
      <c r="F155">
        <v>55.7</v>
      </c>
      <c r="G155" s="198">
        <v>2954</v>
      </c>
      <c r="H155" s="198">
        <v>136</v>
      </c>
      <c r="I155" s="198">
        <v>3.19</v>
      </c>
      <c r="J155" s="198">
        <v>3.4</v>
      </c>
      <c r="K155" s="198">
        <v>8.5</v>
      </c>
      <c r="L155" s="198">
        <v>110</v>
      </c>
      <c r="M155" s="198">
        <v>5500</v>
      </c>
      <c r="N155" s="198">
        <v>19</v>
      </c>
      <c r="O155" s="198">
        <v>25</v>
      </c>
      <c r="P155">
        <v>0</v>
      </c>
      <c r="Q155">
        <v>0</v>
      </c>
      <c r="R155">
        <v>1</v>
      </c>
      <c r="S155">
        <v>0</v>
      </c>
      <c r="T155">
        <v>1</v>
      </c>
      <c r="U155">
        <v>0</v>
      </c>
      <c r="V155">
        <v>18920</v>
      </c>
      <c r="W155" s="124"/>
      <c r="X155" s="124"/>
      <c r="Y155" s="124"/>
      <c r="Z155" s="124"/>
      <c r="AA155" s="123"/>
      <c r="AB155" s="124"/>
      <c r="AC155" s="123"/>
      <c r="AD155" s="123"/>
      <c r="AE155" s="123"/>
      <c r="AF155" s="123"/>
      <c r="AG155" s="63"/>
      <c r="AH155" s="62"/>
    </row>
    <row r="156" spans="2:34" ht="20.25" customHeight="1">
      <c r="B156">
        <v>1</v>
      </c>
      <c r="C156">
        <v>105.8</v>
      </c>
      <c r="D156">
        <v>192.7</v>
      </c>
      <c r="E156">
        <v>71.400000000000006</v>
      </c>
      <c r="F156">
        <v>55.9</v>
      </c>
      <c r="G156" s="198">
        <v>3086</v>
      </c>
      <c r="H156" s="198">
        <v>131</v>
      </c>
      <c r="I156" s="198">
        <v>3.13</v>
      </c>
      <c r="J156" s="198">
        <v>3.4</v>
      </c>
      <c r="K156" s="198">
        <v>8.3000000000000007</v>
      </c>
      <c r="L156" s="198">
        <v>140</v>
      </c>
      <c r="M156" s="198">
        <v>5500</v>
      </c>
      <c r="N156" s="198">
        <v>17</v>
      </c>
      <c r="O156" s="198">
        <v>20</v>
      </c>
      <c r="P156">
        <v>0</v>
      </c>
      <c r="Q156">
        <v>1</v>
      </c>
      <c r="R156">
        <v>1</v>
      </c>
      <c r="S156">
        <v>0</v>
      </c>
      <c r="T156">
        <v>1</v>
      </c>
      <c r="U156">
        <v>0</v>
      </c>
      <c r="V156">
        <v>23875</v>
      </c>
      <c r="W156" s="65"/>
      <c r="X156" s="65"/>
      <c r="Y156" s="65"/>
      <c r="Z156" s="65"/>
      <c r="AA156" s="65"/>
      <c r="AB156" s="65"/>
      <c r="AC156" s="65"/>
      <c r="AD156" s="65"/>
      <c r="AE156" s="65"/>
      <c r="AF156" s="65"/>
      <c r="AG156" s="65"/>
      <c r="AH156" s="65"/>
    </row>
    <row r="157" spans="2:34" ht="20.25" customHeight="1">
      <c r="B157">
        <v>0</v>
      </c>
      <c r="C157">
        <v>99.5</v>
      </c>
      <c r="D157">
        <v>178.2</v>
      </c>
      <c r="E157">
        <v>67.900000000000006</v>
      </c>
      <c r="F157">
        <v>52</v>
      </c>
      <c r="G157" s="198">
        <v>3053</v>
      </c>
      <c r="H157" s="198">
        <v>131</v>
      </c>
      <c r="I157" s="198">
        <v>3.13</v>
      </c>
      <c r="J157" s="198">
        <v>3.4</v>
      </c>
      <c r="K157" s="198">
        <v>7</v>
      </c>
      <c r="L157" s="198">
        <v>160</v>
      </c>
      <c r="M157" s="198">
        <v>5500</v>
      </c>
      <c r="N157" s="198">
        <v>16</v>
      </c>
      <c r="O157" s="198">
        <v>22</v>
      </c>
      <c r="P157">
        <v>0</v>
      </c>
      <c r="Q157">
        <v>1</v>
      </c>
      <c r="R157">
        <v>0</v>
      </c>
      <c r="S157">
        <v>1</v>
      </c>
      <c r="T157">
        <v>0</v>
      </c>
      <c r="U157">
        <v>0</v>
      </c>
      <c r="V157">
        <v>17859.167000000001</v>
      </c>
    </row>
    <row r="158" spans="2:34" ht="20.25" customHeight="1">
      <c r="B158">
        <v>2</v>
      </c>
      <c r="C158">
        <v>101.2</v>
      </c>
      <c r="D158">
        <v>176.8</v>
      </c>
      <c r="E158">
        <v>64.8</v>
      </c>
      <c r="F158">
        <v>54.3</v>
      </c>
      <c r="G158" s="198">
        <v>2395</v>
      </c>
      <c r="H158" s="198">
        <v>108</v>
      </c>
      <c r="I158" s="198">
        <v>3.5</v>
      </c>
      <c r="J158" s="198">
        <v>2.8</v>
      </c>
      <c r="K158" s="198">
        <v>8.8000000000000007</v>
      </c>
      <c r="L158" s="198">
        <v>101</v>
      </c>
      <c r="M158" s="198">
        <v>5800</v>
      </c>
      <c r="N158" s="198">
        <v>23</v>
      </c>
      <c r="O158" s="198">
        <v>29</v>
      </c>
      <c r="P158">
        <v>0</v>
      </c>
      <c r="Q158">
        <v>0</v>
      </c>
      <c r="R158">
        <v>0</v>
      </c>
      <c r="S158">
        <v>0</v>
      </c>
      <c r="T158">
        <v>0</v>
      </c>
      <c r="U158">
        <v>0</v>
      </c>
      <c r="V158">
        <v>16430</v>
      </c>
    </row>
    <row r="159" spans="2:34" ht="20.25" customHeight="1">
      <c r="B159">
        <v>0</v>
      </c>
      <c r="C159">
        <v>101.2</v>
      </c>
      <c r="D159">
        <v>176.8</v>
      </c>
      <c r="E159">
        <v>64.8</v>
      </c>
      <c r="F159">
        <v>54.3</v>
      </c>
      <c r="G159" s="198">
        <v>2395</v>
      </c>
      <c r="H159" s="198">
        <v>108</v>
      </c>
      <c r="I159" s="198">
        <v>3.5</v>
      </c>
      <c r="J159" s="198">
        <v>2.8</v>
      </c>
      <c r="K159" s="198">
        <v>8.8000000000000007</v>
      </c>
      <c r="L159" s="198">
        <v>101</v>
      </c>
      <c r="M159" s="198">
        <v>5800</v>
      </c>
      <c r="N159" s="198">
        <v>23</v>
      </c>
      <c r="O159" s="198">
        <v>29</v>
      </c>
      <c r="P159">
        <v>0</v>
      </c>
      <c r="Q159">
        <v>0</v>
      </c>
      <c r="R159">
        <v>1</v>
      </c>
      <c r="S159">
        <v>0</v>
      </c>
      <c r="T159">
        <v>0</v>
      </c>
      <c r="U159">
        <v>0</v>
      </c>
      <c r="V159">
        <v>16925</v>
      </c>
    </row>
    <row r="160" spans="2:34" ht="20.25" customHeight="1">
      <c r="B160">
        <v>0</v>
      </c>
      <c r="C160">
        <v>101.2</v>
      </c>
      <c r="D160">
        <v>176.8</v>
      </c>
      <c r="E160">
        <v>64.8</v>
      </c>
      <c r="F160">
        <v>54.3</v>
      </c>
      <c r="G160" s="198">
        <v>2710</v>
      </c>
      <c r="H160" s="198">
        <v>164</v>
      </c>
      <c r="I160" s="198">
        <v>3.31</v>
      </c>
      <c r="J160" s="198">
        <v>3.19</v>
      </c>
      <c r="K160" s="198">
        <v>9</v>
      </c>
      <c r="L160" s="198">
        <v>121</v>
      </c>
      <c r="M160" s="198">
        <v>4250</v>
      </c>
      <c r="N160" s="198">
        <v>21</v>
      </c>
      <c r="O160" s="198">
        <v>28</v>
      </c>
      <c r="P160">
        <v>0</v>
      </c>
      <c r="Q160">
        <v>0</v>
      </c>
      <c r="R160">
        <v>0</v>
      </c>
      <c r="S160">
        <v>0</v>
      </c>
      <c r="T160">
        <v>0</v>
      </c>
      <c r="U160">
        <v>0</v>
      </c>
      <c r="V160">
        <v>20970</v>
      </c>
    </row>
    <row r="161" spans="2:22" ht="20.25" customHeight="1">
      <c r="B161">
        <v>0</v>
      </c>
      <c r="C161">
        <v>101.2</v>
      </c>
      <c r="D161">
        <v>176.8</v>
      </c>
      <c r="E161">
        <v>64.8</v>
      </c>
      <c r="F161">
        <v>54.3</v>
      </c>
      <c r="G161" s="198">
        <v>2765</v>
      </c>
      <c r="H161" s="198">
        <v>164</v>
      </c>
      <c r="I161" s="198">
        <v>3.31</v>
      </c>
      <c r="J161" s="198">
        <v>3.19</v>
      </c>
      <c r="K161" s="198">
        <v>9</v>
      </c>
      <c r="L161" s="198">
        <v>121</v>
      </c>
      <c r="M161" s="198">
        <v>4250</v>
      </c>
      <c r="N161" s="198">
        <v>21</v>
      </c>
      <c r="O161" s="198">
        <v>28</v>
      </c>
      <c r="P161">
        <v>0</v>
      </c>
      <c r="Q161">
        <v>0</v>
      </c>
      <c r="R161">
        <v>1</v>
      </c>
      <c r="S161">
        <v>0</v>
      </c>
      <c r="T161">
        <v>0</v>
      </c>
      <c r="U161">
        <v>0</v>
      </c>
      <c r="V161">
        <v>21105</v>
      </c>
    </row>
    <row r="162" spans="2:22" ht="20.25" customHeight="1">
      <c r="B162">
        <v>1</v>
      </c>
      <c r="C162">
        <v>103.5</v>
      </c>
      <c r="D162">
        <v>189</v>
      </c>
      <c r="E162">
        <v>66.900000000000006</v>
      </c>
      <c r="F162">
        <v>55.7</v>
      </c>
      <c r="G162" s="198">
        <v>3055</v>
      </c>
      <c r="H162" s="198">
        <v>164</v>
      </c>
      <c r="I162" s="198">
        <v>3.31</v>
      </c>
      <c r="J162" s="198">
        <v>3.19</v>
      </c>
      <c r="K162" s="198">
        <v>9</v>
      </c>
      <c r="L162" s="198">
        <v>121</v>
      </c>
      <c r="M162" s="198">
        <v>4250</v>
      </c>
      <c r="N162" s="198">
        <v>20</v>
      </c>
      <c r="O162" s="198">
        <v>25</v>
      </c>
      <c r="P162">
        <v>0</v>
      </c>
      <c r="Q162">
        <v>0</v>
      </c>
      <c r="R162">
        <v>1</v>
      </c>
      <c r="S162">
        <v>0</v>
      </c>
      <c r="T162">
        <v>0</v>
      </c>
      <c r="U162">
        <v>0</v>
      </c>
      <c r="V162">
        <v>24565</v>
      </c>
    </row>
    <row r="163" spans="2:22" ht="20.25" customHeight="1">
      <c r="B163">
        <v>0</v>
      </c>
      <c r="C163">
        <v>103.5</v>
      </c>
      <c r="D163">
        <v>189</v>
      </c>
      <c r="E163">
        <v>66.900000000000006</v>
      </c>
      <c r="F163">
        <v>55.7</v>
      </c>
      <c r="G163" s="198">
        <v>3230</v>
      </c>
      <c r="H163" s="198">
        <v>209</v>
      </c>
      <c r="I163" s="198">
        <v>3.62</v>
      </c>
      <c r="J163" s="198">
        <v>3.39</v>
      </c>
      <c r="K163" s="198">
        <v>8</v>
      </c>
      <c r="L163" s="198">
        <v>182</v>
      </c>
      <c r="M163" s="198">
        <v>5400</v>
      </c>
      <c r="N163" s="198">
        <v>16</v>
      </c>
      <c r="O163" s="198">
        <v>22</v>
      </c>
      <c r="P163">
        <v>0</v>
      </c>
      <c r="Q163">
        <v>0</v>
      </c>
      <c r="R163">
        <v>1</v>
      </c>
      <c r="S163">
        <v>0</v>
      </c>
      <c r="T163">
        <v>0</v>
      </c>
      <c r="U163">
        <v>0</v>
      </c>
      <c r="V163">
        <v>30760</v>
      </c>
    </row>
    <row r="164" spans="2:22" ht="20.25" customHeight="1">
      <c r="B164">
        <v>0</v>
      </c>
      <c r="C164">
        <v>103.5</v>
      </c>
      <c r="D164">
        <v>193.8</v>
      </c>
      <c r="E164">
        <v>67.900000000000006</v>
      </c>
      <c r="F164">
        <v>53.7</v>
      </c>
      <c r="G164" s="198">
        <v>3380</v>
      </c>
      <c r="H164" s="198">
        <v>209</v>
      </c>
      <c r="I164" s="198">
        <v>3.62</v>
      </c>
      <c r="J164" s="198">
        <v>3.39</v>
      </c>
      <c r="K164" s="198">
        <v>8</v>
      </c>
      <c r="L164" s="198">
        <v>182</v>
      </c>
      <c r="M164" s="198">
        <v>5400</v>
      </c>
      <c r="N164" s="198">
        <v>16</v>
      </c>
      <c r="O164" s="198">
        <v>22</v>
      </c>
      <c r="P164">
        <v>0</v>
      </c>
      <c r="Q164">
        <v>0</v>
      </c>
      <c r="R164">
        <v>0</v>
      </c>
      <c r="S164">
        <v>0</v>
      </c>
      <c r="T164">
        <v>0</v>
      </c>
      <c r="U164">
        <v>0</v>
      </c>
      <c r="V164">
        <v>41315</v>
      </c>
    </row>
    <row r="165" spans="2:22" ht="20.25" customHeight="1">
      <c r="B165">
        <v>0</v>
      </c>
      <c r="C165">
        <v>110</v>
      </c>
      <c r="D165">
        <v>197</v>
      </c>
      <c r="E165">
        <v>70.900000000000006</v>
      </c>
      <c r="F165">
        <v>56.3</v>
      </c>
      <c r="G165" s="198">
        <v>3505</v>
      </c>
      <c r="H165" s="198">
        <v>209</v>
      </c>
      <c r="I165" s="198">
        <v>3.62</v>
      </c>
      <c r="J165" s="198">
        <v>3.39</v>
      </c>
      <c r="K165" s="198">
        <v>8</v>
      </c>
      <c r="L165" s="198">
        <v>182</v>
      </c>
      <c r="M165" s="198">
        <v>5400</v>
      </c>
      <c r="N165" s="198">
        <v>15</v>
      </c>
      <c r="O165" s="198">
        <v>20</v>
      </c>
      <c r="P165">
        <v>0</v>
      </c>
      <c r="Q165">
        <v>0</v>
      </c>
      <c r="R165">
        <v>1</v>
      </c>
      <c r="S165">
        <v>0</v>
      </c>
      <c r="T165">
        <v>0</v>
      </c>
      <c r="U165">
        <v>0</v>
      </c>
      <c r="V165">
        <v>36880</v>
      </c>
    </row>
    <row r="166" spans="2:22" ht="20.25" customHeight="1">
      <c r="B166">
        <v>2</v>
      </c>
      <c r="C166">
        <v>88.4</v>
      </c>
      <c r="D166">
        <v>141.1</v>
      </c>
      <c r="E166">
        <v>60.3</v>
      </c>
      <c r="F166">
        <v>53.2</v>
      </c>
      <c r="G166" s="198">
        <v>1488</v>
      </c>
      <c r="H166" s="198">
        <v>61</v>
      </c>
      <c r="I166" s="198">
        <v>2.91</v>
      </c>
      <c r="J166" s="198">
        <v>3.03</v>
      </c>
      <c r="K166" s="198">
        <v>9.5</v>
      </c>
      <c r="L166" s="198">
        <v>48</v>
      </c>
      <c r="M166" s="198">
        <v>5100</v>
      </c>
      <c r="N166" s="198">
        <v>47</v>
      </c>
      <c r="O166" s="198">
        <v>53</v>
      </c>
      <c r="P166">
        <v>0</v>
      </c>
      <c r="Q166">
        <v>0</v>
      </c>
      <c r="R166">
        <v>0</v>
      </c>
      <c r="S166">
        <v>0</v>
      </c>
      <c r="T166">
        <v>1</v>
      </c>
      <c r="U166">
        <v>0</v>
      </c>
      <c r="V166">
        <v>5151</v>
      </c>
    </row>
    <row r="167" spans="2:22" ht="20.25" customHeight="1">
      <c r="B167">
        <v>1</v>
      </c>
      <c r="C167">
        <v>94.5</v>
      </c>
      <c r="D167">
        <v>155.9</v>
      </c>
      <c r="E167">
        <v>63.6</v>
      </c>
      <c r="F167">
        <v>52</v>
      </c>
      <c r="G167" s="198">
        <v>1874</v>
      </c>
      <c r="H167" s="198">
        <v>90</v>
      </c>
      <c r="I167" s="198">
        <v>3.03</v>
      </c>
      <c r="J167" s="198">
        <v>3.11</v>
      </c>
      <c r="K167" s="198">
        <v>9.6</v>
      </c>
      <c r="L167" s="198">
        <v>70</v>
      </c>
      <c r="M167" s="198">
        <v>5400</v>
      </c>
      <c r="N167" s="198">
        <v>38</v>
      </c>
      <c r="O167" s="198">
        <v>43</v>
      </c>
      <c r="P167">
        <v>0</v>
      </c>
      <c r="Q167">
        <v>0</v>
      </c>
      <c r="R167">
        <v>0</v>
      </c>
      <c r="S167">
        <v>0</v>
      </c>
      <c r="T167">
        <v>1</v>
      </c>
      <c r="U167">
        <v>0</v>
      </c>
      <c r="V167">
        <v>6295</v>
      </c>
    </row>
    <row r="168" spans="2:22" ht="20.25" customHeight="1">
      <c r="B168">
        <v>0</v>
      </c>
      <c r="C168">
        <v>94.5</v>
      </c>
      <c r="D168">
        <v>158.80000000000001</v>
      </c>
      <c r="E168">
        <v>63.6</v>
      </c>
      <c r="F168">
        <v>52</v>
      </c>
      <c r="G168" s="198">
        <v>1909</v>
      </c>
      <c r="H168" s="198">
        <v>90</v>
      </c>
      <c r="I168" s="198">
        <v>3.03</v>
      </c>
      <c r="J168" s="198">
        <v>3.11</v>
      </c>
      <c r="K168" s="198">
        <v>9.6</v>
      </c>
      <c r="L168" s="198">
        <v>70</v>
      </c>
      <c r="M168" s="198">
        <v>5400</v>
      </c>
      <c r="N168" s="198">
        <v>38</v>
      </c>
      <c r="O168" s="198">
        <v>43</v>
      </c>
      <c r="P168">
        <v>0</v>
      </c>
      <c r="Q168">
        <v>0</v>
      </c>
      <c r="R168">
        <v>1</v>
      </c>
      <c r="S168">
        <v>0</v>
      </c>
      <c r="T168">
        <v>1</v>
      </c>
      <c r="U168">
        <v>0</v>
      </c>
      <c r="V168">
        <v>6575</v>
      </c>
    </row>
    <row r="169" spans="2:22" ht="20.25" customHeight="1">
      <c r="B169">
        <v>1</v>
      </c>
      <c r="C169">
        <v>93.7</v>
      </c>
      <c r="D169">
        <v>157.30000000000001</v>
      </c>
      <c r="E169">
        <v>63.8</v>
      </c>
      <c r="F169">
        <v>50.8</v>
      </c>
      <c r="G169" s="198">
        <v>1876</v>
      </c>
      <c r="H169" s="198">
        <v>90</v>
      </c>
      <c r="I169" s="198">
        <v>2.97</v>
      </c>
      <c r="J169" s="198">
        <v>3.23</v>
      </c>
      <c r="K169" s="198">
        <v>9.41</v>
      </c>
      <c r="L169" s="198">
        <v>68</v>
      </c>
      <c r="M169" s="198">
        <v>5500</v>
      </c>
      <c r="N169" s="198">
        <v>37</v>
      </c>
      <c r="O169" s="198">
        <v>41</v>
      </c>
      <c r="P169">
        <v>0</v>
      </c>
      <c r="Q169">
        <v>0</v>
      </c>
      <c r="R169">
        <v>0</v>
      </c>
      <c r="S169">
        <v>0</v>
      </c>
      <c r="T169">
        <v>1</v>
      </c>
      <c r="U169">
        <v>0</v>
      </c>
      <c r="V169">
        <v>5572</v>
      </c>
    </row>
    <row r="170" spans="2:22" ht="20.25" customHeight="1">
      <c r="B170">
        <v>1</v>
      </c>
      <c r="C170">
        <v>93.7</v>
      </c>
      <c r="D170">
        <v>157.30000000000001</v>
      </c>
      <c r="E170">
        <v>63.8</v>
      </c>
      <c r="F170">
        <v>50.8</v>
      </c>
      <c r="G170" s="198">
        <v>1876</v>
      </c>
      <c r="H170" s="198">
        <v>90</v>
      </c>
      <c r="I170" s="198">
        <v>2.97</v>
      </c>
      <c r="J170" s="198">
        <v>3.23</v>
      </c>
      <c r="K170" s="198">
        <v>9.4</v>
      </c>
      <c r="L170" s="198">
        <v>68</v>
      </c>
      <c r="M170" s="198">
        <v>5500</v>
      </c>
      <c r="N170" s="198">
        <v>31</v>
      </c>
      <c r="O170" s="198">
        <v>38</v>
      </c>
      <c r="P170">
        <v>0</v>
      </c>
      <c r="Q170">
        <v>0</v>
      </c>
      <c r="R170">
        <v>0</v>
      </c>
      <c r="S170">
        <v>0</v>
      </c>
      <c r="T170">
        <v>1</v>
      </c>
      <c r="U170">
        <v>0</v>
      </c>
      <c r="V170">
        <v>6377</v>
      </c>
    </row>
    <row r="171" spans="2:22" ht="20.25" customHeight="1">
      <c r="B171">
        <v>1</v>
      </c>
      <c r="C171">
        <v>93.7</v>
      </c>
      <c r="D171">
        <v>157.30000000000001</v>
      </c>
      <c r="E171">
        <v>63.8</v>
      </c>
      <c r="F171">
        <v>50.8</v>
      </c>
      <c r="G171" s="198">
        <v>2128</v>
      </c>
      <c r="H171" s="198">
        <v>98</v>
      </c>
      <c r="I171" s="198">
        <v>3.03</v>
      </c>
      <c r="J171" s="198">
        <v>3.39</v>
      </c>
      <c r="K171" s="198">
        <v>7.6</v>
      </c>
      <c r="L171" s="198">
        <v>102</v>
      </c>
      <c r="M171" s="198">
        <v>5500</v>
      </c>
      <c r="N171" s="198">
        <v>24</v>
      </c>
      <c r="O171" s="198">
        <v>30</v>
      </c>
      <c r="P171">
        <v>0</v>
      </c>
      <c r="Q171">
        <v>1</v>
      </c>
      <c r="R171">
        <v>0</v>
      </c>
      <c r="S171">
        <v>0</v>
      </c>
      <c r="T171">
        <v>1</v>
      </c>
      <c r="U171">
        <v>0</v>
      </c>
      <c r="V171">
        <v>7957</v>
      </c>
    </row>
    <row r="172" spans="2:22" ht="20.25" customHeight="1">
      <c r="B172">
        <v>1</v>
      </c>
      <c r="C172">
        <v>93.7</v>
      </c>
      <c r="D172">
        <v>157.30000000000001</v>
      </c>
      <c r="E172">
        <v>63.8</v>
      </c>
      <c r="F172">
        <v>50.6</v>
      </c>
      <c r="G172" s="198">
        <v>1967</v>
      </c>
      <c r="H172" s="198">
        <v>90</v>
      </c>
      <c r="I172" s="198">
        <v>2.97</v>
      </c>
      <c r="J172" s="198">
        <v>3.23</v>
      </c>
      <c r="K172" s="198">
        <v>9.4</v>
      </c>
      <c r="L172" s="198">
        <v>68</v>
      </c>
      <c r="M172" s="198">
        <v>5500</v>
      </c>
      <c r="N172" s="198">
        <v>31</v>
      </c>
      <c r="O172" s="198">
        <v>38</v>
      </c>
      <c r="P172">
        <v>0</v>
      </c>
      <c r="Q172">
        <v>0</v>
      </c>
      <c r="R172">
        <v>1</v>
      </c>
      <c r="S172">
        <v>0</v>
      </c>
      <c r="T172">
        <v>1</v>
      </c>
      <c r="U172">
        <v>0</v>
      </c>
      <c r="V172">
        <v>6229</v>
      </c>
    </row>
    <row r="173" spans="2:22" ht="20.25" customHeight="1">
      <c r="B173">
        <v>1</v>
      </c>
      <c r="C173">
        <v>93.7</v>
      </c>
      <c r="D173">
        <v>157.30000000000001</v>
      </c>
      <c r="E173">
        <v>63.8</v>
      </c>
      <c r="F173">
        <v>50.6</v>
      </c>
      <c r="G173" s="198">
        <v>1989</v>
      </c>
      <c r="H173" s="198">
        <v>90</v>
      </c>
      <c r="I173" s="198">
        <v>2.97</v>
      </c>
      <c r="J173" s="198">
        <v>3.23</v>
      </c>
      <c r="K173" s="198">
        <v>9.4</v>
      </c>
      <c r="L173" s="198">
        <v>68</v>
      </c>
      <c r="M173" s="198">
        <v>5500</v>
      </c>
      <c r="N173" s="198">
        <v>31</v>
      </c>
      <c r="O173" s="198">
        <v>38</v>
      </c>
      <c r="P173">
        <v>0</v>
      </c>
      <c r="Q173">
        <v>0</v>
      </c>
      <c r="R173">
        <v>1</v>
      </c>
      <c r="S173">
        <v>0</v>
      </c>
      <c r="T173">
        <v>1</v>
      </c>
      <c r="U173">
        <v>0</v>
      </c>
      <c r="V173">
        <v>6692</v>
      </c>
    </row>
    <row r="174" spans="2:22" ht="20.25" customHeight="1">
      <c r="B174">
        <v>1</v>
      </c>
      <c r="C174">
        <v>93.7</v>
      </c>
      <c r="D174">
        <v>157.30000000000001</v>
      </c>
      <c r="E174">
        <v>63.8</v>
      </c>
      <c r="F174">
        <v>50.6</v>
      </c>
      <c r="G174" s="198">
        <v>1989</v>
      </c>
      <c r="H174" s="198">
        <v>90</v>
      </c>
      <c r="I174" s="198">
        <v>2.97</v>
      </c>
      <c r="J174" s="198">
        <v>3.23</v>
      </c>
      <c r="K174" s="198">
        <v>9.4</v>
      </c>
      <c r="L174" s="198">
        <v>68</v>
      </c>
      <c r="M174" s="198">
        <v>5500</v>
      </c>
      <c r="N174" s="198">
        <v>31</v>
      </c>
      <c r="O174" s="198">
        <v>38</v>
      </c>
      <c r="P174">
        <v>0</v>
      </c>
      <c r="Q174">
        <v>0</v>
      </c>
      <c r="R174">
        <v>1</v>
      </c>
      <c r="S174">
        <v>0</v>
      </c>
      <c r="T174">
        <v>1</v>
      </c>
      <c r="U174">
        <v>0</v>
      </c>
      <c r="V174">
        <v>7609</v>
      </c>
    </row>
    <row r="175" spans="2:22" ht="20.25" customHeight="1">
      <c r="B175">
        <v>1</v>
      </c>
      <c r="C175">
        <v>93.7</v>
      </c>
      <c r="D175">
        <v>157.30000000000001</v>
      </c>
      <c r="E175">
        <v>63.8</v>
      </c>
      <c r="F175">
        <v>50.6</v>
      </c>
      <c r="G175" s="198">
        <v>2191</v>
      </c>
      <c r="H175" s="198">
        <v>98</v>
      </c>
      <c r="I175" s="198">
        <v>3.03</v>
      </c>
      <c r="J175" s="198">
        <v>3.39</v>
      </c>
      <c r="K175" s="198">
        <v>7.6</v>
      </c>
      <c r="L175" s="198">
        <v>102</v>
      </c>
      <c r="M175" s="198">
        <v>5500</v>
      </c>
      <c r="N175" s="198">
        <v>24</v>
      </c>
      <c r="O175" s="198">
        <v>30</v>
      </c>
      <c r="P175">
        <v>0</v>
      </c>
      <c r="Q175">
        <v>1</v>
      </c>
      <c r="R175">
        <v>0</v>
      </c>
      <c r="S175">
        <v>0</v>
      </c>
      <c r="T175">
        <v>1</v>
      </c>
      <c r="U175">
        <v>0</v>
      </c>
      <c r="V175">
        <v>8558</v>
      </c>
    </row>
    <row r="176" spans="2:22" ht="20.25" customHeight="1">
      <c r="B176">
        <v>-1</v>
      </c>
      <c r="C176">
        <v>103.3</v>
      </c>
      <c r="D176">
        <v>174.6</v>
      </c>
      <c r="E176">
        <v>64.599999999999994</v>
      </c>
      <c r="F176">
        <v>59.8</v>
      </c>
      <c r="G176" s="198">
        <v>2535</v>
      </c>
      <c r="H176" s="198">
        <v>122</v>
      </c>
      <c r="I176" s="198">
        <v>3.34</v>
      </c>
      <c r="J176" s="198">
        <v>3.46</v>
      </c>
      <c r="K176" s="198">
        <v>8.5</v>
      </c>
      <c r="L176" s="198">
        <v>88</v>
      </c>
      <c r="M176" s="198">
        <v>5000</v>
      </c>
      <c r="N176" s="198">
        <v>24</v>
      </c>
      <c r="O176" s="198">
        <v>30</v>
      </c>
      <c r="P176">
        <v>0</v>
      </c>
      <c r="Q176">
        <v>0</v>
      </c>
      <c r="R176">
        <v>1</v>
      </c>
      <c r="S176">
        <v>0</v>
      </c>
      <c r="T176">
        <v>1</v>
      </c>
      <c r="U176">
        <v>0</v>
      </c>
      <c r="V176">
        <v>8921</v>
      </c>
    </row>
    <row r="177" spans="2:22" ht="20.25" customHeight="1">
      <c r="B177">
        <v>3</v>
      </c>
      <c r="C177">
        <v>95.9</v>
      </c>
      <c r="D177">
        <v>173.2</v>
      </c>
      <c r="E177">
        <v>66.3</v>
      </c>
      <c r="F177">
        <v>50.2</v>
      </c>
      <c r="G177" s="198">
        <v>2811</v>
      </c>
      <c r="H177" s="198">
        <v>156</v>
      </c>
      <c r="I177" s="198">
        <v>3.6</v>
      </c>
      <c r="J177" s="198">
        <v>3.9</v>
      </c>
      <c r="K177" s="198">
        <v>7</v>
      </c>
      <c r="L177" s="198">
        <v>145</v>
      </c>
      <c r="M177" s="198">
        <v>5000</v>
      </c>
      <c r="N177" s="198">
        <v>19</v>
      </c>
      <c r="O177" s="198">
        <v>24</v>
      </c>
      <c r="P177">
        <v>0</v>
      </c>
      <c r="Q177">
        <v>1</v>
      </c>
      <c r="R177">
        <v>0</v>
      </c>
      <c r="S177">
        <v>0</v>
      </c>
      <c r="T177">
        <v>1</v>
      </c>
      <c r="U177">
        <v>0</v>
      </c>
      <c r="V177">
        <v>12964</v>
      </c>
    </row>
    <row r="178" spans="2:22" ht="20.25" customHeight="1">
      <c r="B178">
        <v>2</v>
      </c>
      <c r="C178">
        <v>86.6</v>
      </c>
      <c r="D178">
        <v>144.6</v>
      </c>
      <c r="E178">
        <v>63.9</v>
      </c>
      <c r="F178">
        <v>50.8</v>
      </c>
      <c r="G178" s="198">
        <v>1713</v>
      </c>
      <c r="H178" s="198">
        <v>92</v>
      </c>
      <c r="I178" s="198">
        <v>2.91</v>
      </c>
      <c r="J178" s="198">
        <v>3.41</v>
      </c>
      <c r="K178" s="198">
        <v>9.6</v>
      </c>
      <c r="L178" s="198">
        <v>58</v>
      </c>
      <c r="M178" s="198">
        <v>4800</v>
      </c>
      <c r="N178" s="198">
        <v>49</v>
      </c>
      <c r="O178" s="198">
        <v>54</v>
      </c>
      <c r="P178">
        <v>0</v>
      </c>
      <c r="Q178">
        <v>0</v>
      </c>
      <c r="R178">
        <v>0</v>
      </c>
      <c r="S178">
        <v>0</v>
      </c>
      <c r="T178">
        <v>1</v>
      </c>
      <c r="U178">
        <v>0</v>
      </c>
      <c r="V178">
        <v>6479</v>
      </c>
    </row>
    <row r="179" spans="2:22" ht="20.25" customHeight="1">
      <c r="B179">
        <v>2</v>
      </c>
      <c r="C179">
        <v>86.6</v>
      </c>
      <c r="D179">
        <v>144.6</v>
      </c>
      <c r="E179">
        <v>63.9</v>
      </c>
      <c r="F179">
        <v>50.8</v>
      </c>
      <c r="G179" s="198">
        <v>1819</v>
      </c>
      <c r="H179" s="198">
        <v>92</v>
      </c>
      <c r="I179" s="198">
        <v>2.91</v>
      </c>
      <c r="J179" s="198">
        <v>3.41</v>
      </c>
      <c r="K179" s="198">
        <v>9.1999999999999993</v>
      </c>
      <c r="L179" s="198">
        <v>76</v>
      </c>
      <c r="M179" s="198">
        <v>6000</v>
      </c>
      <c r="N179" s="198">
        <v>31</v>
      </c>
      <c r="O179" s="198">
        <v>38</v>
      </c>
      <c r="P179">
        <v>0</v>
      </c>
      <c r="Q179">
        <v>0</v>
      </c>
      <c r="R179">
        <v>0</v>
      </c>
      <c r="S179">
        <v>0</v>
      </c>
      <c r="T179">
        <v>1</v>
      </c>
      <c r="U179">
        <v>0</v>
      </c>
      <c r="V179">
        <v>6855</v>
      </c>
    </row>
    <row r="180" spans="2:22" ht="20.25" customHeight="1">
      <c r="B180">
        <v>1</v>
      </c>
      <c r="C180">
        <v>93.7</v>
      </c>
      <c r="D180">
        <v>150</v>
      </c>
      <c r="E180">
        <v>64</v>
      </c>
      <c r="F180">
        <v>52.6</v>
      </c>
      <c r="G180" s="198">
        <v>1837</v>
      </c>
      <c r="H180" s="198">
        <v>79</v>
      </c>
      <c r="I180" s="198">
        <v>2.91</v>
      </c>
      <c r="J180" s="198">
        <v>3.07</v>
      </c>
      <c r="K180" s="198">
        <v>10.1</v>
      </c>
      <c r="L180" s="198">
        <v>60</v>
      </c>
      <c r="M180" s="198">
        <v>5500</v>
      </c>
      <c r="N180" s="198">
        <v>38</v>
      </c>
      <c r="O180" s="198">
        <v>42</v>
      </c>
      <c r="P180">
        <v>0</v>
      </c>
      <c r="Q180">
        <v>0</v>
      </c>
      <c r="R180">
        <v>0</v>
      </c>
      <c r="S180">
        <v>0</v>
      </c>
      <c r="T180">
        <v>1</v>
      </c>
      <c r="U180">
        <v>0</v>
      </c>
      <c r="V180">
        <v>5399</v>
      </c>
    </row>
    <row r="181" spans="2:22" ht="20.25" customHeight="1">
      <c r="B181">
        <v>1</v>
      </c>
      <c r="C181">
        <v>93.7</v>
      </c>
      <c r="D181">
        <v>150</v>
      </c>
      <c r="E181">
        <v>64</v>
      </c>
      <c r="F181">
        <v>52.6</v>
      </c>
      <c r="G181" s="198">
        <v>1940</v>
      </c>
      <c r="H181" s="198">
        <v>92</v>
      </c>
      <c r="I181" s="198">
        <v>2.91</v>
      </c>
      <c r="J181" s="198">
        <v>3.41</v>
      </c>
      <c r="K181" s="198">
        <v>9.1999999999999993</v>
      </c>
      <c r="L181" s="198">
        <v>76</v>
      </c>
      <c r="M181" s="198">
        <v>6000</v>
      </c>
      <c r="N181" s="198">
        <v>30</v>
      </c>
      <c r="O181" s="198">
        <v>34</v>
      </c>
      <c r="P181">
        <v>0</v>
      </c>
      <c r="Q181">
        <v>0</v>
      </c>
      <c r="R181">
        <v>0</v>
      </c>
      <c r="S181">
        <v>0</v>
      </c>
      <c r="T181">
        <v>1</v>
      </c>
      <c r="U181">
        <v>0</v>
      </c>
      <c r="V181">
        <v>6529</v>
      </c>
    </row>
    <row r="182" spans="2:22" ht="20.25" customHeight="1">
      <c r="B182">
        <v>1</v>
      </c>
      <c r="C182">
        <v>93.7</v>
      </c>
      <c r="D182">
        <v>150</v>
      </c>
      <c r="E182">
        <v>64</v>
      </c>
      <c r="F182">
        <v>52.6</v>
      </c>
      <c r="G182" s="198">
        <v>1956</v>
      </c>
      <c r="H182" s="198">
        <v>92</v>
      </c>
      <c r="I182" s="198">
        <v>2.91</v>
      </c>
      <c r="J182" s="198">
        <v>3.41</v>
      </c>
      <c r="K182" s="198">
        <v>9.1999999999999993</v>
      </c>
      <c r="L182" s="198">
        <v>76</v>
      </c>
      <c r="M182" s="198">
        <v>6000</v>
      </c>
      <c r="N182" s="198">
        <v>30</v>
      </c>
      <c r="O182" s="198">
        <v>34</v>
      </c>
      <c r="P182">
        <v>0</v>
      </c>
      <c r="Q182">
        <v>0</v>
      </c>
      <c r="R182">
        <v>0</v>
      </c>
      <c r="S182">
        <v>0</v>
      </c>
      <c r="T182">
        <v>1</v>
      </c>
      <c r="U182">
        <v>0</v>
      </c>
      <c r="V182">
        <v>7129</v>
      </c>
    </row>
    <row r="183" spans="2:22" ht="20.25" customHeight="1">
      <c r="B183">
        <v>0</v>
      </c>
      <c r="C183">
        <v>96.5</v>
      </c>
      <c r="D183">
        <v>163.4</v>
      </c>
      <c r="E183">
        <v>64</v>
      </c>
      <c r="F183">
        <v>54.5</v>
      </c>
      <c r="G183" s="198">
        <v>2010</v>
      </c>
      <c r="H183" s="198">
        <v>92</v>
      </c>
      <c r="I183" s="198">
        <v>2.91</v>
      </c>
      <c r="J183" s="198">
        <v>3.41</v>
      </c>
      <c r="K183" s="198">
        <v>9.1999999999999993</v>
      </c>
      <c r="L183" s="198">
        <v>76</v>
      </c>
      <c r="M183" s="198">
        <v>6000</v>
      </c>
      <c r="N183" s="198">
        <v>30</v>
      </c>
      <c r="O183" s="198">
        <v>34</v>
      </c>
      <c r="P183">
        <v>0</v>
      </c>
      <c r="Q183">
        <v>0</v>
      </c>
      <c r="R183">
        <v>1</v>
      </c>
      <c r="S183">
        <v>0</v>
      </c>
      <c r="T183">
        <v>1</v>
      </c>
      <c r="U183">
        <v>0</v>
      </c>
      <c r="V183">
        <v>7295</v>
      </c>
    </row>
    <row r="184" spans="2:22" ht="20.25" customHeight="1">
      <c r="B184">
        <v>0</v>
      </c>
      <c r="C184">
        <v>96.5</v>
      </c>
      <c r="D184">
        <v>157.1</v>
      </c>
      <c r="E184">
        <v>63.9</v>
      </c>
      <c r="F184">
        <v>58.3</v>
      </c>
      <c r="G184" s="198">
        <v>2024</v>
      </c>
      <c r="H184" s="198">
        <v>92</v>
      </c>
      <c r="I184" s="198">
        <v>2.92</v>
      </c>
      <c r="J184" s="198">
        <v>3.41</v>
      </c>
      <c r="K184" s="198">
        <v>9.1999999999999993</v>
      </c>
      <c r="L184" s="198">
        <v>76</v>
      </c>
      <c r="M184" s="198">
        <v>6000</v>
      </c>
      <c r="N184" s="198">
        <v>30</v>
      </c>
      <c r="O184" s="198">
        <v>34</v>
      </c>
      <c r="P184">
        <v>0</v>
      </c>
      <c r="Q184">
        <v>0</v>
      </c>
      <c r="R184">
        <v>1</v>
      </c>
      <c r="S184">
        <v>0</v>
      </c>
      <c r="T184">
        <v>1</v>
      </c>
      <c r="U184">
        <v>0</v>
      </c>
      <c r="V184">
        <v>7295</v>
      </c>
    </row>
    <row r="185" spans="2:22" ht="20.25" customHeight="1">
      <c r="B185">
        <v>0</v>
      </c>
      <c r="C185">
        <v>96.5</v>
      </c>
      <c r="D185">
        <v>167.5</v>
      </c>
      <c r="E185">
        <v>65.2</v>
      </c>
      <c r="F185">
        <v>53.3</v>
      </c>
      <c r="G185" s="198">
        <v>2236</v>
      </c>
      <c r="H185" s="198">
        <v>110</v>
      </c>
      <c r="I185" s="198">
        <v>3.15</v>
      </c>
      <c r="J185" s="198">
        <v>3.58</v>
      </c>
      <c r="K185" s="198">
        <v>9</v>
      </c>
      <c r="L185" s="198">
        <v>86</v>
      </c>
      <c r="M185" s="198">
        <v>5800</v>
      </c>
      <c r="N185" s="198">
        <v>27</v>
      </c>
      <c r="O185" s="198">
        <v>33</v>
      </c>
      <c r="P185">
        <v>0</v>
      </c>
      <c r="Q185">
        <v>0</v>
      </c>
      <c r="R185">
        <v>0</v>
      </c>
      <c r="S185">
        <v>0</v>
      </c>
      <c r="T185">
        <v>1</v>
      </c>
      <c r="U185">
        <v>0</v>
      </c>
      <c r="V185">
        <v>7895</v>
      </c>
    </row>
    <row r="186" spans="2:22" ht="20.25" customHeight="1">
      <c r="B186">
        <v>0</v>
      </c>
      <c r="C186">
        <v>96.5</v>
      </c>
      <c r="D186">
        <v>167.5</v>
      </c>
      <c r="E186">
        <v>65.2</v>
      </c>
      <c r="F186">
        <v>53.3</v>
      </c>
      <c r="G186" s="198">
        <v>2289</v>
      </c>
      <c r="H186" s="198">
        <v>110</v>
      </c>
      <c r="I186" s="198">
        <v>3.15</v>
      </c>
      <c r="J186" s="198">
        <v>3.58</v>
      </c>
      <c r="K186" s="198">
        <v>9</v>
      </c>
      <c r="L186" s="198">
        <v>86</v>
      </c>
      <c r="M186" s="198">
        <v>5800</v>
      </c>
      <c r="N186" s="198">
        <v>27</v>
      </c>
      <c r="O186" s="198">
        <v>33</v>
      </c>
      <c r="P186">
        <v>0</v>
      </c>
      <c r="Q186">
        <v>0</v>
      </c>
      <c r="R186">
        <v>0</v>
      </c>
      <c r="S186">
        <v>0</v>
      </c>
      <c r="T186">
        <v>1</v>
      </c>
      <c r="U186">
        <v>0</v>
      </c>
      <c r="V186">
        <v>9095</v>
      </c>
    </row>
    <row r="187" spans="2:22" ht="20.25" customHeight="1">
      <c r="B187">
        <v>0</v>
      </c>
      <c r="C187">
        <v>96.5</v>
      </c>
      <c r="D187">
        <v>175.4</v>
      </c>
      <c r="E187">
        <v>65.2</v>
      </c>
      <c r="F187">
        <v>54.1</v>
      </c>
      <c r="G187" s="198">
        <v>2304</v>
      </c>
      <c r="H187" s="198">
        <v>110</v>
      </c>
      <c r="I187" s="198">
        <v>3.15</v>
      </c>
      <c r="J187" s="198">
        <v>3.58</v>
      </c>
      <c r="K187" s="198">
        <v>9</v>
      </c>
      <c r="L187" s="198">
        <v>86</v>
      </c>
      <c r="M187" s="198">
        <v>5800</v>
      </c>
      <c r="N187" s="198">
        <v>27</v>
      </c>
      <c r="O187" s="198">
        <v>33</v>
      </c>
      <c r="P187">
        <v>0</v>
      </c>
      <c r="Q187">
        <v>0</v>
      </c>
      <c r="R187">
        <v>1</v>
      </c>
      <c r="S187">
        <v>0</v>
      </c>
      <c r="T187">
        <v>1</v>
      </c>
      <c r="U187">
        <v>0</v>
      </c>
      <c r="V187">
        <v>8845</v>
      </c>
    </row>
    <row r="188" spans="2:22" ht="20.25" customHeight="1">
      <c r="B188">
        <v>0</v>
      </c>
      <c r="C188">
        <v>96.5</v>
      </c>
      <c r="D188">
        <v>175.4</v>
      </c>
      <c r="E188">
        <v>62.5</v>
      </c>
      <c r="F188">
        <v>54.1</v>
      </c>
      <c r="G188" s="198">
        <v>2372</v>
      </c>
      <c r="H188" s="198">
        <v>110</v>
      </c>
      <c r="I188" s="198">
        <v>3.15</v>
      </c>
      <c r="J188" s="198">
        <v>3.58</v>
      </c>
      <c r="K188" s="198">
        <v>9</v>
      </c>
      <c r="L188" s="198">
        <v>86</v>
      </c>
      <c r="M188" s="198">
        <v>5800</v>
      </c>
      <c r="N188" s="198">
        <v>27</v>
      </c>
      <c r="O188" s="198">
        <v>33</v>
      </c>
      <c r="P188">
        <v>0</v>
      </c>
      <c r="Q188">
        <v>0</v>
      </c>
      <c r="R188">
        <v>1</v>
      </c>
      <c r="S188">
        <v>0</v>
      </c>
      <c r="T188">
        <v>1</v>
      </c>
      <c r="U188">
        <v>0</v>
      </c>
      <c r="V188">
        <v>10295</v>
      </c>
    </row>
    <row r="189" spans="2:22" ht="20.25" customHeight="1">
      <c r="B189">
        <v>0</v>
      </c>
      <c r="C189">
        <v>96.5</v>
      </c>
      <c r="D189">
        <v>175.4</v>
      </c>
      <c r="E189">
        <v>65.2</v>
      </c>
      <c r="F189">
        <v>54.1</v>
      </c>
      <c r="G189" s="198">
        <v>2465</v>
      </c>
      <c r="H189" s="198">
        <v>110</v>
      </c>
      <c r="I189" s="198">
        <v>3.15</v>
      </c>
      <c r="J189" s="198">
        <v>3.58</v>
      </c>
      <c r="K189" s="198">
        <v>9</v>
      </c>
      <c r="L189" s="198">
        <v>101</v>
      </c>
      <c r="M189" s="198">
        <v>5800</v>
      </c>
      <c r="N189" s="198">
        <v>24</v>
      </c>
      <c r="O189" s="198">
        <v>28</v>
      </c>
      <c r="P189">
        <v>0</v>
      </c>
      <c r="Q189">
        <v>0</v>
      </c>
      <c r="R189">
        <v>1</v>
      </c>
      <c r="S189">
        <v>0</v>
      </c>
      <c r="T189">
        <v>1</v>
      </c>
      <c r="U189">
        <v>0</v>
      </c>
      <c r="V189">
        <v>12945</v>
      </c>
    </row>
    <row r="190" spans="2:22" ht="20.25" customHeight="1">
      <c r="B190">
        <v>1</v>
      </c>
      <c r="C190">
        <v>96.5</v>
      </c>
      <c r="D190">
        <v>169.1</v>
      </c>
      <c r="E190">
        <v>66</v>
      </c>
      <c r="F190">
        <v>51</v>
      </c>
      <c r="G190" s="198">
        <v>2293</v>
      </c>
      <c r="H190" s="198">
        <v>110</v>
      </c>
      <c r="I190" s="198">
        <v>3.15</v>
      </c>
      <c r="J190" s="198">
        <v>3.58</v>
      </c>
      <c r="K190" s="198">
        <v>9.1</v>
      </c>
      <c r="L190" s="198">
        <v>100</v>
      </c>
      <c r="M190" s="198">
        <v>5500</v>
      </c>
      <c r="N190" s="198">
        <v>25</v>
      </c>
      <c r="O190" s="198">
        <v>31</v>
      </c>
      <c r="P190">
        <v>0</v>
      </c>
      <c r="Q190">
        <v>0</v>
      </c>
      <c r="R190">
        <v>0</v>
      </c>
      <c r="S190">
        <v>0</v>
      </c>
      <c r="T190">
        <v>1</v>
      </c>
      <c r="U190">
        <v>0</v>
      </c>
      <c r="V190">
        <v>10345</v>
      </c>
    </row>
    <row r="191" spans="2:22" ht="20.25" customHeight="1">
      <c r="B191">
        <v>0</v>
      </c>
      <c r="C191">
        <v>94.3</v>
      </c>
      <c r="D191">
        <v>170.7</v>
      </c>
      <c r="E191">
        <v>61.8</v>
      </c>
      <c r="F191">
        <v>53.5</v>
      </c>
      <c r="G191" s="198">
        <v>2337</v>
      </c>
      <c r="H191" s="198">
        <v>111</v>
      </c>
      <c r="I191" s="198">
        <v>3.31</v>
      </c>
      <c r="J191" s="198">
        <v>3.23</v>
      </c>
      <c r="K191" s="198">
        <v>8.5</v>
      </c>
      <c r="L191" s="198">
        <v>78</v>
      </c>
      <c r="M191" s="198">
        <v>4800</v>
      </c>
      <c r="N191" s="198">
        <v>24</v>
      </c>
      <c r="O191" s="198">
        <v>29</v>
      </c>
      <c r="P191">
        <v>0</v>
      </c>
      <c r="Q191">
        <v>0</v>
      </c>
      <c r="R191">
        <v>1</v>
      </c>
      <c r="S191">
        <v>0</v>
      </c>
      <c r="T191">
        <v>0</v>
      </c>
      <c r="U191">
        <v>0</v>
      </c>
      <c r="V191">
        <v>6785</v>
      </c>
    </row>
    <row r="192" spans="2:22" ht="20.25" customHeight="1">
      <c r="B192">
        <v>1</v>
      </c>
      <c r="C192">
        <v>94.5</v>
      </c>
      <c r="D192">
        <v>155.9</v>
      </c>
      <c r="E192">
        <v>63.6</v>
      </c>
      <c r="F192">
        <v>52</v>
      </c>
      <c r="G192" s="198">
        <v>1874</v>
      </c>
      <c r="H192" s="198">
        <v>90</v>
      </c>
      <c r="I192" s="198">
        <v>3.03</v>
      </c>
      <c r="J192" s="198">
        <v>3.11</v>
      </c>
      <c r="K192" s="198">
        <v>9.6</v>
      </c>
      <c r="L192" s="198">
        <v>70</v>
      </c>
      <c r="M192" s="198">
        <v>5400</v>
      </c>
      <c r="N192" s="198">
        <v>38</v>
      </c>
      <c r="O192" s="198">
        <v>43</v>
      </c>
      <c r="P192">
        <v>0</v>
      </c>
      <c r="Q192">
        <v>0</v>
      </c>
      <c r="R192">
        <v>0</v>
      </c>
      <c r="S192">
        <v>0</v>
      </c>
      <c r="T192">
        <v>1</v>
      </c>
      <c r="U192">
        <v>0</v>
      </c>
      <c r="V192">
        <v>8916.5</v>
      </c>
    </row>
    <row r="193" spans="2:22" ht="20.25" customHeight="1">
      <c r="B193">
        <v>0</v>
      </c>
      <c r="C193">
        <v>94.5</v>
      </c>
      <c r="D193">
        <v>155.9</v>
      </c>
      <c r="E193">
        <v>63.6</v>
      </c>
      <c r="F193">
        <v>52</v>
      </c>
      <c r="G193" s="198">
        <v>1909</v>
      </c>
      <c r="H193" s="198">
        <v>90</v>
      </c>
      <c r="I193" s="198">
        <v>3.03</v>
      </c>
      <c r="J193" s="198">
        <v>3.11</v>
      </c>
      <c r="K193" s="198">
        <v>9.6</v>
      </c>
      <c r="L193" s="198">
        <v>70</v>
      </c>
      <c r="M193" s="198">
        <v>5400</v>
      </c>
      <c r="N193" s="198">
        <v>38</v>
      </c>
      <c r="O193" s="198">
        <v>43</v>
      </c>
      <c r="P193">
        <v>0</v>
      </c>
      <c r="Q193">
        <v>0</v>
      </c>
      <c r="R193">
        <v>1</v>
      </c>
      <c r="S193">
        <v>0</v>
      </c>
      <c r="T193">
        <v>1</v>
      </c>
      <c r="U193">
        <v>0</v>
      </c>
      <c r="V193">
        <v>8916.5</v>
      </c>
    </row>
    <row r="194" spans="2:22" ht="20.25" customHeight="1">
      <c r="B194">
        <v>2</v>
      </c>
      <c r="C194">
        <v>96</v>
      </c>
      <c r="D194">
        <v>172.6</v>
      </c>
      <c r="E194">
        <v>65.2</v>
      </c>
      <c r="F194">
        <v>51.4</v>
      </c>
      <c r="G194" s="198">
        <v>2734</v>
      </c>
      <c r="H194" s="198">
        <v>119</v>
      </c>
      <c r="I194" s="198">
        <v>3.43</v>
      </c>
      <c r="J194" s="198">
        <v>3.23</v>
      </c>
      <c r="K194" s="198">
        <v>9.1999999999999993</v>
      </c>
      <c r="L194" s="198">
        <v>90</v>
      </c>
      <c r="M194" s="198">
        <v>5000</v>
      </c>
      <c r="N194" s="198">
        <v>24</v>
      </c>
      <c r="O194" s="198">
        <v>29</v>
      </c>
      <c r="P194">
        <v>0</v>
      </c>
      <c r="Q194">
        <v>0</v>
      </c>
      <c r="R194">
        <v>0</v>
      </c>
      <c r="S194">
        <v>0</v>
      </c>
      <c r="T194">
        <v>0</v>
      </c>
      <c r="U194">
        <v>0</v>
      </c>
      <c r="V194">
        <v>11048</v>
      </c>
    </row>
    <row r="195" spans="2:22" ht="20.25" customHeight="1">
      <c r="B195">
        <v>0</v>
      </c>
      <c r="C195">
        <v>113</v>
      </c>
      <c r="D195">
        <v>199.6</v>
      </c>
      <c r="E195">
        <v>69.599999999999994</v>
      </c>
      <c r="F195">
        <v>52.8</v>
      </c>
      <c r="G195" s="198">
        <v>4066</v>
      </c>
      <c r="H195" s="198">
        <v>258</v>
      </c>
      <c r="I195" s="198">
        <v>3.63</v>
      </c>
      <c r="J195" s="198">
        <v>4.17</v>
      </c>
      <c r="K195" s="198">
        <v>8.1</v>
      </c>
      <c r="L195" s="198">
        <v>176</v>
      </c>
      <c r="M195" s="198">
        <v>4750</v>
      </c>
      <c r="N195" s="198">
        <v>15</v>
      </c>
      <c r="O195" s="198">
        <v>19</v>
      </c>
      <c r="P195">
        <v>0</v>
      </c>
      <c r="Q195">
        <v>0</v>
      </c>
      <c r="R195">
        <v>1</v>
      </c>
      <c r="S195">
        <v>0</v>
      </c>
      <c r="T195">
        <v>0</v>
      </c>
      <c r="U195">
        <v>0</v>
      </c>
      <c r="V195">
        <v>32250</v>
      </c>
    </row>
    <row r="196" spans="2:22" ht="20.25" customHeight="1">
      <c r="B196">
        <v>0</v>
      </c>
      <c r="C196">
        <v>113</v>
      </c>
      <c r="D196">
        <v>199.6</v>
      </c>
      <c r="E196">
        <v>69.599999999999994</v>
      </c>
      <c r="F196">
        <v>52.8</v>
      </c>
      <c r="G196" s="198">
        <v>4066</v>
      </c>
      <c r="H196" s="198">
        <v>258</v>
      </c>
      <c r="I196" s="198">
        <v>3.63</v>
      </c>
      <c r="J196" s="198">
        <v>4.17</v>
      </c>
      <c r="K196" s="198">
        <v>8.1</v>
      </c>
      <c r="L196" s="198">
        <v>176</v>
      </c>
      <c r="M196" s="198">
        <v>4750</v>
      </c>
      <c r="N196" s="198">
        <v>15</v>
      </c>
      <c r="O196" s="198">
        <v>19</v>
      </c>
      <c r="P196">
        <v>0</v>
      </c>
      <c r="Q196">
        <v>0</v>
      </c>
      <c r="R196">
        <v>1</v>
      </c>
      <c r="S196">
        <v>0</v>
      </c>
      <c r="T196">
        <v>0</v>
      </c>
      <c r="U196">
        <v>0</v>
      </c>
      <c r="V196">
        <v>35550</v>
      </c>
    </row>
    <row r="197" spans="2:22" ht="20.25" customHeight="1">
      <c r="B197">
        <v>0</v>
      </c>
      <c r="C197">
        <v>102</v>
      </c>
      <c r="D197">
        <v>191.7</v>
      </c>
      <c r="E197">
        <v>70.599999999999994</v>
      </c>
      <c r="F197">
        <v>47.8</v>
      </c>
      <c r="G197" s="198">
        <v>3950</v>
      </c>
      <c r="H197" s="198">
        <v>326</v>
      </c>
      <c r="I197" s="198">
        <v>3.54</v>
      </c>
      <c r="J197" s="198">
        <v>2.76</v>
      </c>
      <c r="K197" s="198">
        <v>11.5</v>
      </c>
      <c r="L197" s="198">
        <v>262</v>
      </c>
      <c r="M197" s="198">
        <v>5000</v>
      </c>
      <c r="N197" s="198">
        <v>13</v>
      </c>
      <c r="O197" s="198">
        <v>17</v>
      </c>
      <c r="P197">
        <v>0</v>
      </c>
      <c r="Q197">
        <v>0</v>
      </c>
      <c r="R197">
        <v>0</v>
      </c>
      <c r="S197">
        <v>0</v>
      </c>
      <c r="T197">
        <v>0</v>
      </c>
      <c r="U197">
        <v>0</v>
      </c>
      <c r="V197">
        <v>36000</v>
      </c>
    </row>
    <row r="198" spans="2:22" ht="20.25" customHeight="1">
      <c r="B198">
        <v>1</v>
      </c>
      <c r="C198">
        <v>93.1</v>
      </c>
      <c r="D198">
        <v>159.1</v>
      </c>
      <c r="E198">
        <v>64.2</v>
      </c>
      <c r="F198">
        <v>54.1</v>
      </c>
      <c r="G198" s="198">
        <v>1890</v>
      </c>
      <c r="H198" s="198">
        <v>91</v>
      </c>
      <c r="I198" s="198">
        <v>3.03</v>
      </c>
      <c r="J198" s="198">
        <v>3.15</v>
      </c>
      <c r="K198" s="198">
        <v>9</v>
      </c>
      <c r="L198" s="198">
        <v>68</v>
      </c>
      <c r="M198" s="198">
        <v>5000</v>
      </c>
      <c r="N198" s="198">
        <v>30</v>
      </c>
      <c r="O198" s="198">
        <v>31</v>
      </c>
      <c r="P198">
        <v>0</v>
      </c>
      <c r="Q198">
        <v>0</v>
      </c>
      <c r="R198">
        <v>0</v>
      </c>
      <c r="S198">
        <v>0</v>
      </c>
      <c r="T198">
        <v>1</v>
      </c>
      <c r="U198">
        <v>0</v>
      </c>
      <c r="V198">
        <v>5195</v>
      </c>
    </row>
    <row r="199" spans="2:22" ht="20.25" customHeight="1">
      <c r="B199">
        <v>1</v>
      </c>
      <c r="C199">
        <v>93.1</v>
      </c>
      <c r="D199">
        <v>159.1</v>
      </c>
      <c r="E199">
        <v>64.2</v>
      </c>
      <c r="F199">
        <v>54.1</v>
      </c>
      <c r="G199" s="198">
        <v>1900</v>
      </c>
      <c r="H199" s="198">
        <v>91</v>
      </c>
      <c r="I199" s="198">
        <v>3.03</v>
      </c>
      <c r="J199" s="198">
        <v>3.15</v>
      </c>
      <c r="K199" s="198">
        <v>9</v>
      </c>
      <c r="L199" s="198">
        <v>68</v>
      </c>
      <c r="M199" s="198">
        <v>5000</v>
      </c>
      <c r="N199" s="198">
        <v>31</v>
      </c>
      <c r="O199" s="198">
        <v>38</v>
      </c>
      <c r="P199">
        <v>0</v>
      </c>
      <c r="Q199">
        <v>0</v>
      </c>
      <c r="R199">
        <v>0</v>
      </c>
      <c r="S199">
        <v>0</v>
      </c>
      <c r="T199">
        <v>1</v>
      </c>
      <c r="U199">
        <v>0</v>
      </c>
      <c r="V199">
        <v>6095</v>
      </c>
    </row>
    <row r="200" spans="2:22" ht="20.25" customHeight="1">
      <c r="B200">
        <v>1</v>
      </c>
      <c r="C200">
        <v>93.1</v>
      </c>
      <c r="D200">
        <v>159.1</v>
      </c>
      <c r="E200">
        <v>64.2</v>
      </c>
      <c r="F200">
        <v>54.1</v>
      </c>
      <c r="G200" s="198">
        <v>1905</v>
      </c>
      <c r="H200" s="198">
        <v>91</v>
      </c>
      <c r="I200" s="198">
        <v>3.03</v>
      </c>
      <c r="J200" s="198">
        <v>3.15</v>
      </c>
      <c r="K200" s="198">
        <v>9</v>
      </c>
      <c r="L200" s="198">
        <v>68</v>
      </c>
      <c r="M200" s="198">
        <v>5000</v>
      </c>
      <c r="N200" s="198">
        <v>31</v>
      </c>
      <c r="O200" s="198">
        <v>38</v>
      </c>
      <c r="P200">
        <v>0</v>
      </c>
      <c r="Q200">
        <v>0</v>
      </c>
      <c r="R200">
        <v>0</v>
      </c>
      <c r="S200">
        <v>0</v>
      </c>
      <c r="T200">
        <v>1</v>
      </c>
      <c r="U200">
        <v>0</v>
      </c>
      <c r="V200">
        <v>6795</v>
      </c>
    </row>
    <row r="201" spans="2:22" ht="20.25" customHeight="1">
      <c r="B201">
        <v>1</v>
      </c>
      <c r="C201">
        <v>93.1</v>
      </c>
      <c r="D201">
        <v>166.8</v>
      </c>
      <c r="E201">
        <v>64.2</v>
      </c>
      <c r="F201">
        <v>54.1</v>
      </c>
      <c r="G201" s="198">
        <v>1945</v>
      </c>
      <c r="H201" s="198">
        <v>91</v>
      </c>
      <c r="I201" s="198">
        <v>3.03</v>
      </c>
      <c r="J201" s="198">
        <v>3.15</v>
      </c>
      <c r="K201" s="198">
        <v>9</v>
      </c>
      <c r="L201" s="198">
        <v>68</v>
      </c>
      <c r="M201" s="198">
        <v>5000</v>
      </c>
      <c r="N201" s="198">
        <v>31</v>
      </c>
      <c r="O201" s="198">
        <v>38</v>
      </c>
      <c r="P201">
        <v>0</v>
      </c>
      <c r="Q201">
        <v>0</v>
      </c>
      <c r="R201">
        <v>1</v>
      </c>
      <c r="S201">
        <v>0</v>
      </c>
      <c r="T201">
        <v>1</v>
      </c>
      <c r="U201">
        <v>0</v>
      </c>
      <c r="V201">
        <v>6695</v>
      </c>
    </row>
    <row r="202" spans="2:22" ht="20.25" customHeight="1">
      <c r="B202">
        <v>1</v>
      </c>
      <c r="C202">
        <v>93.1</v>
      </c>
      <c r="D202">
        <v>166.8</v>
      </c>
      <c r="E202">
        <v>64.2</v>
      </c>
      <c r="F202">
        <v>54.1</v>
      </c>
      <c r="G202" s="198">
        <v>1950</v>
      </c>
      <c r="H202" s="198">
        <v>91</v>
      </c>
      <c r="I202" s="198">
        <v>3.08</v>
      </c>
      <c r="J202" s="198">
        <v>3.15</v>
      </c>
      <c r="K202" s="198">
        <v>9</v>
      </c>
      <c r="L202" s="198">
        <v>68</v>
      </c>
      <c r="M202" s="198">
        <v>5000</v>
      </c>
      <c r="N202" s="198">
        <v>31</v>
      </c>
      <c r="O202" s="198">
        <v>38</v>
      </c>
      <c r="P202">
        <v>0</v>
      </c>
      <c r="Q202">
        <v>0</v>
      </c>
      <c r="R202">
        <v>1</v>
      </c>
      <c r="S202">
        <v>0</v>
      </c>
      <c r="T202">
        <v>1</v>
      </c>
      <c r="U202">
        <v>0</v>
      </c>
      <c r="V202">
        <v>7395</v>
      </c>
    </row>
    <row r="203" spans="2:22" ht="20.25" customHeight="1">
      <c r="B203">
        <v>3</v>
      </c>
      <c r="C203">
        <v>95.3</v>
      </c>
      <c r="D203">
        <v>169</v>
      </c>
      <c r="E203">
        <v>65.7</v>
      </c>
      <c r="F203">
        <v>49.6</v>
      </c>
      <c r="G203" s="198">
        <v>2380</v>
      </c>
      <c r="H203" s="198">
        <v>70</v>
      </c>
      <c r="I203" s="198">
        <v>3.33</v>
      </c>
      <c r="J203" s="198">
        <v>3.2549999999999999</v>
      </c>
      <c r="K203" s="198">
        <v>9.4</v>
      </c>
      <c r="L203" s="198">
        <v>101</v>
      </c>
      <c r="M203" s="198">
        <v>6000</v>
      </c>
      <c r="N203" s="198">
        <v>17</v>
      </c>
      <c r="O203" s="198">
        <v>23</v>
      </c>
      <c r="P203">
        <v>0</v>
      </c>
      <c r="Q203">
        <v>0</v>
      </c>
      <c r="R203">
        <v>0</v>
      </c>
      <c r="S203">
        <v>0</v>
      </c>
      <c r="T203">
        <v>0</v>
      </c>
      <c r="U203">
        <v>0</v>
      </c>
      <c r="V203">
        <v>10945</v>
      </c>
    </row>
    <row r="204" spans="2:22" ht="20.25" customHeight="1">
      <c r="B204">
        <v>3</v>
      </c>
      <c r="C204">
        <v>95.3</v>
      </c>
      <c r="D204">
        <v>169</v>
      </c>
      <c r="E204">
        <v>65.7</v>
      </c>
      <c r="F204">
        <v>49.6</v>
      </c>
      <c r="G204" s="198">
        <v>2380</v>
      </c>
      <c r="H204" s="198">
        <v>70</v>
      </c>
      <c r="I204" s="198">
        <v>3.33</v>
      </c>
      <c r="J204" s="198">
        <v>3.2549999999999999</v>
      </c>
      <c r="K204" s="198">
        <v>9.4</v>
      </c>
      <c r="L204" s="198">
        <v>101</v>
      </c>
      <c r="M204" s="198">
        <v>6000</v>
      </c>
      <c r="N204" s="198">
        <v>17</v>
      </c>
      <c r="O204" s="198">
        <v>23</v>
      </c>
      <c r="P204">
        <v>0</v>
      </c>
      <c r="Q204">
        <v>0</v>
      </c>
      <c r="R204">
        <v>0</v>
      </c>
      <c r="S204">
        <v>0</v>
      </c>
      <c r="T204">
        <v>0</v>
      </c>
      <c r="U204">
        <v>0</v>
      </c>
      <c r="V204">
        <v>11845</v>
      </c>
    </row>
    <row r="205" spans="2:22" ht="20.25" customHeight="1">
      <c r="B205">
        <v>3</v>
      </c>
      <c r="C205">
        <v>95.3</v>
      </c>
      <c r="D205">
        <v>169</v>
      </c>
      <c r="E205">
        <v>65.7</v>
      </c>
      <c r="F205">
        <v>49.6</v>
      </c>
      <c r="G205" s="198">
        <v>2385</v>
      </c>
      <c r="H205" s="198">
        <v>70</v>
      </c>
      <c r="I205" s="198">
        <v>3.33</v>
      </c>
      <c r="J205" s="198">
        <v>3.2549999999999999</v>
      </c>
      <c r="K205" s="198">
        <v>9.4</v>
      </c>
      <c r="L205" s="198">
        <v>101</v>
      </c>
      <c r="M205" s="198">
        <v>6000</v>
      </c>
      <c r="N205" s="198">
        <v>17</v>
      </c>
      <c r="O205" s="198">
        <v>23</v>
      </c>
      <c r="P205">
        <v>0</v>
      </c>
      <c r="Q205">
        <v>0</v>
      </c>
      <c r="R205">
        <v>0</v>
      </c>
      <c r="S205">
        <v>0</v>
      </c>
      <c r="T205">
        <v>0</v>
      </c>
      <c r="U205">
        <v>0</v>
      </c>
      <c r="V205">
        <v>13645</v>
      </c>
    </row>
    <row r="206" spans="2:22" ht="20.25" customHeight="1">
      <c r="B206">
        <v>3</v>
      </c>
      <c r="C206">
        <v>95.3</v>
      </c>
      <c r="D206">
        <v>169</v>
      </c>
      <c r="E206">
        <v>65.7</v>
      </c>
      <c r="F206">
        <v>49.6</v>
      </c>
      <c r="G206" s="198">
        <v>2500</v>
      </c>
      <c r="H206" s="198">
        <v>80</v>
      </c>
      <c r="I206" s="198">
        <v>3.33</v>
      </c>
      <c r="J206" s="198">
        <v>3.2549999999999999</v>
      </c>
      <c r="K206" s="198">
        <v>9.4</v>
      </c>
      <c r="L206" s="198">
        <v>135</v>
      </c>
      <c r="M206" s="198">
        <v>6000</v>
      </c>
      <c r="N206" s="198">
        <v>16</v>
      </c>
      <c r="O206" s="198">
        <v>23</v>
      </c>
      <c r="P206">
        <v>0</v>
      </c>
      <c r="Q206">
        <v>0</v>
      </c>
      <c r="R206">
        <v>0</v>
      </c>
      <c r="S206">
        <v>0</v>
      </c>
      <c r="T206">
        <v>0</v>
      </c>
      <c r="U206">
        <v>0</v>
      </c>
      <c r="V206">
        <v>15645</v>
      </c>
    </row>
    <row r="207" spans="2:22" ht="20.25" customHeight="1">
      <c r="B207">
        <v>1</v>
      </c>
      <c r="C207">
        <v>98.8</v>
      </c>
      <c r="D207">
        <v>177.8</v>
      </c>
      <c r="E207">
        <v>66.5</v>
      </c>
      <c r="F207">
        <v>53.7</v>
      </c>
      <c r="G207" s="198">
        <v>2385</v>
      </c>
      <c r="H207" s="198">
        <v>122</v>
      </c>
      <c r="I207" s="198">
        <v>3.39</v>
      </c>
      <c r="J207" s="198">
        <v>3.39</v>
      </c>
      <c r="K207" s="198">
        <v>8.6</v>
      </c>
      <c r="L207" s="198">
        <v>84</v>
      </c>
      <c r="M207" s="198">
        <v>4800</v>
      </c>
      <c r="N207" s="198">
        <v>26</v>
      </c>
      <c r="O207" s="198">
        <v>32</v>
      </c>
      <c r="P207">
        <v>0</v>
      </c>
      <c r="Q207">
        <v>0</v>
      </c>
      <c r="R207">
        <v>0</v>
      </c>
      <c r="S207">
        <v>0</v>
      </c>
      <c r="T207">
        <v>1</v>
      </c>
      <c r="U207">
        <v>0</v>
      </c>
      <c r="V207">
        <v>8845</v>
      </c>
    </row>
    <row r="208" spans="2:22" ht="20.25" customHeight="1">
      <c r="B208">
        <v>0</v>
      </c>
      <c r="C208">
        <v>98.8</v>
      </c>
      <c r="D208">
        <v>177.8</v>
      </c>
      <c r="E208">
        <v>66.5</v>
      </c>
      <c r="F208">
        <v>55.5</v>
      </c>
      <c r="G208" s="198">
        <v>2410</v>
      </c>
      <c r="H208" s="198">
        <v>122</v>
      </c>
      <c r="I208" s="198">
        <v>3.39</v>
      </c>
      <c r="J208" s="198">
        <v>3.39</v>
      </c>
      <c r="K208" s="198">
        <v>8.6</v>
      </c>
      <c r="L208" s="198">
        <v>84</v>
      </c>
      <c r="M208" s="198">
        <v>4800</v>
      </c>
      <c r="N208" s="198">
        <v>26</v>
      </c>
      <c r="O208" s="198">
        <v>32</v>
      </c>
      <c r="P208">
        <v>0</v>
      </c>
      <c r="Q208">
        <v>0</v>
      </c>
      <c r="R208">
        <v>1</v>
      </c>
      <c r="S208">
        <v>0</v>
      </c>
      <c r="T208">
        <v>1</v>
      </c>
      <c r="U208">
        <v>0</v>
      </c>
      <c r="V208">
        <v>8495</v>
      </c>
    </row>
    <row r="209" spans="2:30" ht="20.25" customHeight="1">
      <c r="B209">
        <v>1</v>
      </c>
      <c r="C209">
        <v>98.8</v>
      </c>
      <c r="D209">
        <v>177.8</v>
      </c>
      <c r="E209">
        <v>66.5</v>
      </c>
      <c r="F209">
        <v>53.7</v>
      </c>
      <c r="G209" s="198">
        <v>2385</v>
      </c>
      <c r="H209" s="198">
        <v>122</v>
      </c>
      <c r="I209" s="198">
        <v>3.39</v>
      </c>
      <c r="J209" s="198">
        <v>3.39</v>
      </c>
      <c r="K209" s="198">
        <v>8.6</v>
      </c>
      <c r="L209" s="198">
        <v>84</v>
      </c>
      <c r="M209" s="198">
        <v>4800</v>
      </c>
      <c r="N209" s="198">
        <v>26</v>
      </c>
      <c r="O209" s="198">
        <v>32</v>
      </c>
      <c r="P209">
        <v>0</v>
      </c>
      <c r="Q209">
        <v>0</v>
      </c>
      <c r="R209">
        <v>0</v>
      </c>
      <c r="S209">
        <v>0</v>
      </c>
      <c r="T209">
        <v>1</v>
      </c>
      <c r="U209">
        <v>0</v>
      </c>
      <c r="V209">
        <v>10595</v>
      </c>
    </row>
    <row r="210" spans="2:30" ht="20.25" customHeight="1">
      <c r="B210">
        <v>0</v>
      </c>
      <c r="C210">
        <v>98.8</v>
      </c>
      <c r="D210">
        <v>177.8</v>
      </c>
      <c r="E210">
        <v>66.5</v>
      </c>
      <c r="F210">
        <v>55.5</v>
      </c>
      <c r="G210" s="198">
        <v>2410</v>
      </c>
      <c r="H210" s="198">
        <v>122</v>
      </c>
      <c r="I210" s="198">
        <v>3.39</v>
      </c>
      <c r="J210" s="198">
        <v>3.39</v>
      </c>
      <c r="K210" s="198">
        <v>8.6</v>
      </c>
      <c r="L210" s="198">
        <v>84</v>
      </c>
      <c r="M210" s="198">
        <v>4800</v>
      </c>
      <c r="N210" s="198">
        <v>26</v>
      </c>
      <c r="O210" s="198">
        <v>32</v>
      </c>
      <c r="P210">
        <v>0</v>
      </c>
      <c r="Q210">
        <v>0</v>
      </c>
      <c r="R210">
        <v>1</v>
      </c>
      <c r="S210">
        <v>0</v>
      </c>
      <c r="T210">
        <v>1</v>
      </c>
      <c r="U210">
        <v>0</v>
      </c>
      <c r="V210">
        <v>10245</v>
      </c>
    </row>
    <row r="211" spans="2:30" ht="20.25" customHeight="1">
      <c r="B211">
        <v>0</v>
      </c>
      <c r="C211">
        <v>98.8</v>
      </c>
      <c r="D211">
        <v>177.8</v>
      </c>
      <c r="E211">
        <v>66.5</v>
      </c>
      <c r="F211">
        <v>55.5</v>
      </c>
      <c r="G211" s="198">
        <v>2443</v>
      </c>
      <c r="H211" s="198">
        <v>122</v>
      </c>
      <c r="I211" s="198">
        <v>3.39</v>
      </c>
      <c r="J211" s="198">
        <v>3.39</v>
      </c>
      <c r="K211" s="198">
        <v>22.7</v>
      </c>
      <c r="L211" s="198">
        <v>64</v>
      </c>
      <c r="M211" s="198">
        <v>4650</v>
      </c>
      <c r="N211" s="198">
        <v>36</v>
      </c>
      <c r="O211" s="198">
        <v>42</v>
      </c>
      <c r="P211">
        <v>1</v>
      </c>
      <c r="Q211">
        <v>0</v>
      </c>
      <c r="R211">
        <v>1</v>
      </c>
      <c r="S211">
        <v>0</v>
      </c>
      <c r="T211">
        <v>1</v>
      </c>
      <c r="U211">
        <v>0</v>
      </c>
      <c r="V211">
        <v>10795</v>
      </c>
    </row>
    <row r="212" spans="2:30" ht="20.25" customHeight="1">
      <c r="B212">
        <v>0</v>
      </c>
      <c r="C212">
        <v>98.8</v>
      </c>
      <c r="D212">
        <v>177.8</v>
      </c>
      <c r="E212">
        <v>66.5</v>
      </c>
      <c r="F212">
        <v>55.5</v>
      </c>
      <c r="G212" s="198">
        <v>2425</v>
      </c>
      <c r="H212" s="198">
        <v>122</v>
      </c>
      <c r="I212" s="198">
        <v>3.39</v>
      </c>
      <c r="J212" s="198">
        <v>3.39</v>
      </c>
      <c r="K212" s="198">
        <v>8.6</v>
      </c>
      <c r="L212" s="198">
        <v>84</v>
      </c>
      <c r="M212" s="198">
        <v>4800</v>
      </c>
      <c r="N212" s="198">
        <v>26</v>
      </c>
      <c r="O212" s="198">
        <v>32</v>
      </c>
      <c r="P212">
        <v>0</v>
      </c>
      <c r="Q212">
        <v>0</v>
      </c>
      <c r="R212">
        <v>1</v>
      </c>
      <c r="S212">
        <v>0</v>
      </c>
      <c r="T212">
        <v>1</v>
      </c>
      <c r="U212">
        <v>0</v>
      </c>
      <c r="V212">
        <v>11245</v>
      </c>
    </row>
    <row r="213" spans="2:30" ht="20.25" customHeight="1">
      <c r="B213">
        <v>0</v>
      </c>
      <c r="C213">
        <v>104.9</v>
      </c>
      <c r="D213">
        <v>175</v>
      </c>
      <c r="E213">
        <v>66.099999999999994</v>
      </c>
      <c r="F213">
        <v>54.4</v>
      </c>
      <c r="G213" s="198">
        <v>2670</v>
      </c>
      <c r="H213" s="198">
        <v>140</v>
      </c>
      <c r="I213" s="198">
        <v>3.76</v>
      </c>
      <c r="J213" s="198">
        <v>3.16</v>
      </c>
      <c r="K213" s="198">
        <v>8</v>
      </c>
      <c r="L213" s="198">
        <v>120</v>
      </c>
      <c r="M213" s="198">
        <v>5000</v>
      </c>
      <c r="N213" s="198">
        <v>19</v>
      </c>
      <c r="O213" s="198">
        <v>27</v>
      </c>
      <c r="P213">
        <v>0</v>
      </c>
      <c r="Q213">
        <v>0</v>
      </c>
      <c r="R213">
        <v>1</v>
      </c>
      <c r="S213">
        <v>0</v>
      </c>
      <c r="T213">
        <v>0</v>
      </c>
      <c r="U213">
        <v>0</v>
      </c>
      <c r="V213">
        <v>18280</v>
      </c>
    </row>
    <row r="214" spans="2:30" ht="20.25" customHeight="1">
      <c r="B214">
        <v>0</v>
      </c>
      <c r="C214">
        <v>104.9</v>
      </c>
      <c r="D214">
        <v>175</v>
      </c>
      <c r="E214">
        <v>66.099999999999994</v>
      </c>
      <c r="F214">
        <v>54.4</v>
      </c>
      <c r="G214" s="198">
        <v>2700</v>
      </c>
      <c r="H214" s="198">
        <v>134</v>
      </c>
      <c r="I214" s="198">
        <v>3.43</v>
      </c>
      <c r="J214" s="198">
        <v>3.64</v>
      </c>
      <c r="K214" s="198">
        <v>22</v>
      </c>
      <c r="L214" s="198">
        <v>72</v>
      </c>
      <c r="M214" s="198">
        <v>4200</v>
      </c>
      <c r="N214" s="198">
        <v>31</v>
      </c>
      <c r="O214" s="198">
        <v>39</v>
      </c>
      <c r="P214">
        <v>1</v>
      </c>
      <c r="Q214">
        <v>0</v>
      </c>
      <c r="R214">
        <v>1</v>
      </c>
      <c r="S214">
        <v>0</v>
      </c>
      <c r="T214">
        <v>0</v>
      </c>
      <c r="U214">
        <v>0</v>
      </c>
      <c r="V214">
        <v>18344</v>
      </c>
    </row>
    <row r="215" spans="2:30" ht="20.25" customHeight="1">
      <c r="B215">
        <v>-1</v>
      </c>
      <c r="C215">
        <v>110</v>
      </c>
      <c r="D215">
        <v>190.9</v>
      </c>
      <c r="E215">
        <v>70.3</v>
      </c>
      <c r="F215">
        <v>56.5</v>
      </c>
      <c r="G215" s="198">
        <v>3515</v>
      </c>
      <c r="H215" s="198">
        <v>183</v>
      </c>
      <c r="I215" s="198">
        <v>3.58</v>
      </c>
      <c r="J215" s="198">
        <v>3.64</v>
      </c>
      <c r="K215" s="198">
        <v>21.5</v>
      </c>
      <c r="L215" s="198">
        <v>123</v>
      </c>
      <c r="M215" s="198">
        <v>4350</v>
      </c>
      <c r="N215" s="198">
        <v>22</v>
      </c>
      <c r="O215" s="198">
        <v>25</v>
      </c>
      <c r="P215">
        <v>1</v>
      </c>
      <c r="Q215">
        <v>1</v>
      </c>
      <c r="R215">
        <v>1</v>
      </c>
      <c r="S215">
        <v>0</v>
      </c>
      <c r="T215">
        <v>0</v>
      </c>
      <c r="U215">
        <v>0</v>
      </c>
      <c r="V215">
        <v>25552</v>
      </c>
    </row>
    <row r="216" spans="2:30" ht="20.25" customHeight="1">
      <c r="B216">
        <v>-1</v>
      </c>
      <c r="C216">
        <v>110</v>
      </c>
      <c r="D216">
        <v>190.9</v>
      </c>
      <c r="E216">
        <v>70.3</v>
      </c>
      <c r="F216">
        <v>58.7</v>
      </c>
      <c r="G216" s="198">
        <v>3750</v>
      </c>
      <c r="H216" s="198">
        <v>183</v>
      </c>
      <c r="I216" s="198">
        <v>3.58</v>
      </c>
      <c r="J216" s="198">
        <v>3.64</v>
      </c>
      <c r="K216" s="198">
        <v>21.5</v>
      </c>
      <c r="L216" s="198">
        <v>123</v>
      </c>
      <c r="M216" s="198">
        <v>4350</v>
      </c>
      <c r="N216" s="198">
        <v>22</v>
      </c>
      <c r="O216" s="198">
        <v>25</v>
      </c>
      <c r="P216">
        <v>1</v>
      </c>
      <c r="Q216">
        <v>1</v>
      </c>
      <c r="R216">
        <v>1</v>
      </c>
      <c r="S216">
        <v>0</v>
      </c>
      <c r="T216">
        <v>0</v>
      </c>
      <c r="U216">
        <v>0</v>
      </c>
      <c r="V216">
        <v>28248</v>
      </c>
    </row>
    <row r="217" spans="2:30" ht="20.25" customHeight="1">
      <c r="B217">
        <v>0</v>
      </c>
      <c r="C217">
        <v>106.7</v>
      </c>
      <c r="D217">
        <v>187.5</v>
      </c>
      <c r="E217">
        <v>70.3</v>
      </c>
      <c r="F217">
        <v>54.9</v>
      </c>
      <c r="G217" s="198">
        <v>3495</v>
      </c>
      <c r="H217" s="198">
        <v>183</v>
      </c>
      <c r="I217" s="198">
        <v>3.58</v>
      </c>
      <c r="J217" s="198">
        <v>3.64</v>
      </c>
      <c r="K217" s="198">
        <v>21.5</v>
      </c>
      <c r="L217" s="198">
        <v>123</v>
      </c>
      <c r="M217" s="198">
        <v>4350</v>
      </c>
      <c r="N217" s="198">
        <v>22</v>
      </c>
      <c r="O217" s="198">
        <v>25</v>
      </c>
      <c r="P217">
        <v>1</v>
      </c>
      <c r="Q217">
        <v>1</v>
      </c>
      <c r="R217">
        <v>0</v>
      </c>
      <c r="S217">
        <v>0</v>
      </c>
      <c r="T217">
        <v>0</v>
      </c>
      <c r="U217">
        <v>0</v>
      </c>
      <c r="V217">
        <v>28176</v>
      </c>
    </row>
    <row r="218" spans="2:30" ht="20.25" customHeight="1">
      <c r="B218">
        <v>-1</v>
      </c>
      <c r="C218">
        <v>115.6</v>
      </c>
      <c r="D218">
        <v>202.6</v>
      </c>
      <c r="E218">
        <v>71.7</v>
      </c>
      <c r="F218">
        <v>56.3</v>
      </c>
      <c r="G218" s="198">
        <v>3770</v>
      </c>
      <c r="H218" s="198">
        <v>183</v>
      </c>
      <c r="I218" s="198">
        <v>3.58</v>
      </c>
      <c r="J218" s="198">
        <v>3.64</v>
      </c>
      <c r="K218" s="198">
        <v>21.5</v>
      </c>
      <c r="L218" s="198">
        <v>123</v>
      </c>
      <c r="M218" s="198">
        <v>4350</v>
      </c>
      <c r="N218" s="198">
        <v>22</v>
      </c>
      <c r="O218" s="198">
        <v>25</v>
      </c>
      <c r="P218">
        <v>1</v>
      </c>
      <c r="Q218">
        <v>1</v>
      </c>
      <c r="R218">
        <v>1</v>
      </c>
      <c r="S218">
        <v>0</v>
      </c>
      <c r="T218">
        <v>0</v>
      </c>
      <c r="U218">
        <v>0</v>
      </c>
      <c r="V218">
        <v>31600</v>
      </c>
      <c r="W218" s="73"/>
      <c r="X218" s="73"/>
      <c r="Y218" s="73"/>
      <c r="Z218" s="73"/>
      <c r="AA218" s="73"/>
      <c r="AB218" s="73"/>
      <c r="AC218"/>
      <c r="AD218"/>
    </row>
    <row r="219" spans="2:30" ht="20.25" customHeight="1">
      <c r="B219">
        <v>-1</v>
      </c>
      <c r="C219">
        <v>115.6</v>
      </c>
      <c r="D219">
        <v>202.6</v>
      </c>
      <c r="E219">
        <v>71.7</v>
      </c>
      <c r="F219">
        <v>56.5</v>
      </c>
      <c r="G219" s="198">
        <v>3740</v>
      </c>
      <c r="H219" s="198">
        <v>234</v>
      </c>
      <c r="I219" s="198">
        <v>3.46</v>
      </c>
      <c r="J219" s="198">
        <v>3.1</v>
      </c>
      <c r="K219" s="198">
        <v>8.3000000000000007</v>
      </c>
      <c r="L219" s="198">
        <v>155</v>
      </c>
      <c r="M219" s="198">
        <v>4750</v>
      </c>
      <c r="N219" s="198">
        <v>16</v>
      </c>
      <c r="O219" s="198">
        <v>18</v>
      </c>
      <c r="P219">
        <v>0</v>
      </c>
      <c r="Q219">
        <v>0</v>
      </c>
      <c r="R219">
        <v>1</v>
      </c>
      <c r="S219">
        <v>0</v>
      </c>
      <c r="T219">
        <v>0</v>
      </c>
      <c r="U219">
        <v>0</v>
      </c>
      <c r="V219">
        <v>34184</v>
      </c>
      <c r="W219"/>
      <c r="X219"/>
      <c r="Y219"/>
      <c r="Z219"/>
      <c r="AA219"/>
      <c r="AB219"/>
      <c r="AC219"/>
      <c r="AD219"/>
    </row>
    <row r="220" spans="2:30" ht="20.25" customHeight="1">
      <c r="B220">
        <v>3</v>
      </c>
      <c r="C220">
        <v>96.6</v>
      </c>
      <c r="D220">
        <v>180.3</v>
      </c>
      <c r="E220">
        <v>70.5</v>
      </c>
      <c r="F220">
        <v>50.8</v>
      </c>
      <c r="G220" s="198">
        <v>3685</v>
      </c>
      <c r="H220" s="198">
        <v>234</v>
      </c>
      <c r="I220" s="198">
        <v>3.46</v>
      </c>
      <c r="J220" s="198">
        <v>3.1</v>
      </c>
      <c r="K220" s="198">
        <v>8.3000000000000007</v>
      </c>
      <c r="L220" s="198">
        <v>155</v>
      </c>
      <c r="M220" s="198">
        <v>4750</v>
      </c>
      <c r="N220" s="198">
        <v>16</v>
      </c>
      <c r="O220" s="198">
        <v>18</v>
      </c>
      <c r="P220">
        <v>0</v>
      </c>
      <c r="Q220">
        <v>0</v>
      </c>
      <c r="R220">
        <v>0</v>
      </c>
      <c r="S220">
        <v>0</v>
      </c>
      <c r="T220">
        <v>0</v>
      </c>
      <c r="U220">
        <v>0</v>
      </c>
      <c r="V220">
        <v>35056</v>
      </c>
      <c r="W220"/>
      <c r="X220"/>
      <c r="Y220"/>
      <c r="Z220"/>
      <c r="AA220"/>
      <c r="AB220"/>
      <c r="AC220"/>
      <c r="AD220"/>
    </row>
    <row r="221" spans="2:30" ht="20.25" customHeight="1">
      <c r="B221">
        <v>0</v>
      </c>
      <c r="C221">
        <v>120.9</v>
      </c>
      <c r="D221">
        <v>208.1</v>
      </c>
      <c r="E221">
        <v>71.7</v>
      </c>
      <c r="F221">
        <v>56.7</v>
      </c>
      <c r="G221" s="198">
        <v>3900</v>
      </c>
      <c r="H221" s="198">
        <v>308</v>
      </c>
      <c r="I221" s="198">
        <v>3.8</v>
      </c>
      <c r="J221" s="198">
        <v>3.35</v>
      </c>
      <c r="K221" s="198">
        <v>8</v>
      </c>
      <c r="L221" s="198">
        <v>184</v>
      </c>
      <c r="M221" s="198">
        <v>4500</v>
      </c>
      <c r="N221" s="198">
        <v>14</v>
      </c>
      <c r="O221" s="198">
        <v>16</v>
      </c>
      <c r="P221">
        <v>0</v>
      </c>
      <c r="Q221">
        <v>0</v>
      </c>
      <c r="R221">
        <v>1</v>
      </c>
      <c r="S221">
        <v>0</v>
      </c>
      <c r="T221">
        <v>0</v>
      </c>
      <c r="U221">
        <v>0</v>
      </c>
      <c r="V221">
        <v>40960</v>
      </c>
      <c r="W221"/>
      <c r="X221"/>
      <c r="Y221"/>
      <c r="Z221"/>
      <c r="AA221"/>
      <c r="AB221"/>
      <c r="AC221"/>
      <c r="AD221"/>
    </row>
    <row r="222" spans="2:30" ht="20.25" customHeight="1">
      <c r="B222">
        <v>1</v>
      </c>
      <c r="C222">
        <v>112</v>
      </c>
      <c r="D222">
        <v>199.2</v>
      </c>
      <c r="E222">
        <v>72</v>
      </c>
      <c r="F222">
        <v>55.4</v>
      </c>
      <c r="G222" s="198">
        <v>3715</v>
      </c>
      <c r="H222" s="198">
        <v>304</v>
      </c>
      <c r="I222" s="198">
        <v>3.8</v>
      </c>
      <c r="J222" s="198">
        <v>3.35</v>
      </c>
      <c r="K222" s="198">
        <v>8</v>
      </c>
      <c r="L222" s="198">
        <v>184</v>
      </c>
      <c r="M222" s="198">
        <v>4500</v>
      </c>
      <c r="N222" s="198">
        <v>14</v>
      </c>
      <c r="O222" s="198">
        <v>16</v>
      </c>
      <c r="P222">
        <v>0</v>
      </c>
      <c r="Q222">
        <v>0</v>
      </c>
      <c r="R222">
        <v>0</v>
      </c>
      <c r="S222">
        <v>0</v>
      </c>
      <c r="T222">
        <v>0</v>
      </c>
      <c r="U222">
        <v>0</v>
      </c>
      <c r="V222">
        <v>45400</v>
      </c>
      <c r="W222"/>
      <c r="X222"/>
      <c r="Y222"/>
      <c r="Z222"/>
      <c r="AA222"/>
      <c r="AB222"/>
      <c r="AC222"/>
      <c r="AD222"/>
    </row>
    <row r="223" spans="2:30" ht="20.25" customHeight="1">
      <c r="B223">
        <v>1</v>
      </c>
      <c r="C223">
        <v>102.7</v>
      </c>
      <c r="D223">
        <v>178.4</v>
      </c>
      <c r="E223">
        <v>68</v>
      </c>
      <c r="F223">
        <v>54.8</v>
      </c>
      <c r="G223" s="198">
        <v>2910</v>
      </c>
      <c r="H223" s="198">
        <v>140</v>
      </c>
      <c r="I223" s="198">
        <v>3.78</v>
      </c>
      <c r="J223" s="198">
        <v>3.12</v>
      </c>
      <c r="K223" s="198">
        <v>8</v>
      </c>
      <c r="L223" s="198">
        <v>175</v>
      </c>
      <c r="M223" s="198">
        <v>5000</v>
      </c>
      <c r="N223" s="198">
        <v>19</v>
      </c>
      <c r="O223" s="198">
        <v>24</v>
      </c>
      <c r="P223">
        <v>0</v>
      </c>
      <c r="Q223">
        <v>1</v>
      </c>
      <c r="R223">
        <v>0</v>
      </c>
      <c r="S223">
        <v>0</v>
      </c>
      <c r="T223">
        <v>0</v>
      </c>
      <c r="U223">
        <v>0</v>
      </c>
      <c r="V223">
        <v>16503</v>
      </c>
      <c r="W223"/>
      <c r="X223"/>
      <c r="Y223"/>
      <c r="Z223"/>
      <c r="AA223"/>
      <c r="AB223"/>
      <c r="AC223"/>
      <c r="AD223"/>
    </row>
    <row r="224" spans="2:30" ht="20.25" customHeight="1">
      <c r="B224">
        <v>2</v>
      </c>
      <c r="C224">
        <v>93.7</v>
      </c>
      <c r="D224">
        <v>157.30000000000001</v>
      </c>
      <c r="E224">
        <v>64.400000000000006</v>
      </c>
      <c r="F224">
        <v>50.8</v>
      </c>
      <c r="G224" s="198">
        <v>1918</v>
      </c>
      <c r="H224" s="198">
        <v>92</v>
      </c>
      <c r="I224" s="198">
        <v>2.97</v>
      </c>
      <c r="J224" s="198">
        <v>3.23</v>
      </c>
      <c r="K224" s="198">
        <v>9.4</v>
      </c>
      <c r="L224" s="198">
        <v>68</v>
      </c>
      <c r="M224" s="198">
        <v>5500</v>
      </c>
      <c r="N224" s="198">
        <v>37</v>
      </c>
      <c r="O224" s="198">
        <v>41</v>
      </c>
      <c r="P224">
        <v>0</v>
      </c>
      <c r="Q224">
        <v>0</v>
      </c>
      <c r="R224">
        <v>0</v>
      </c>
      <c r="S224">
        <v>0</v>
      </c>
      <c r="T224">
        <v>1</v>
      </c>
      <c r="U224">
        <v>0</v>
      </c>
      <c r="V224">
        <v>5389</v>
      </c>
      <c r="W224"/>
      <c r="X224"/>
      <c r="Y224"/>
      <c r="Z224"/>
      <c r="AA224"/>
      <c r="AB224"/>
      <c r="AC224"/>
      <c r="AD224"/>
    </row>
    <row r="225" spans="2:30" ht="20.25" customHeight="1">
      <c r="B225">
        <v>2</v>
      </c>
      <c r="C225">
        <v>93.7</v>
      </c>
      <c r="D225">
        <v>157.30000000000001</v>
      </c>
      <c r="E225">
        <v>64.400000000000006</v>
      </c>
      <c r="F225">
        <v>50.8</v>
      </c>
      <c r="G225" s="198">
        <v>1944</v>
      </c>
      <c r="H225" s="198">
        <v>92</v>
      </c>
      <c r="I225" s="198">
        <v>2.97</v>
      </c>
      <c r="J225" s="198">
        <v>3.23</v>
      </c>
      <c r="K225" s="198">
        <v>9.4</v>
      </c>
      <c r="L225" s="198">
        <v>68</v>
      </c>
      <c r="M225" s="198">
        <v>5500</v>
      </c>
      <c r="N225" s="198">
        <v>31</v>
      </c>
      <c r="O225" s="198">
        <v>38</v>
      </c>
      <c r="P225">
        <v>0</v>
      </c>
      <c r="Q225">
        <v>0</v>
      </c>
      <c r="R225">
        <v>0</v>
      </c>
      <c r="S225">
        <v>0</v>
      </c>
      <c r="T225">
        <v>1</v>
      </c>
      <c r="U225">
        <v>0</v>
      </c>
      <c r="V225">
        <v>6189</v>
      </c>
      <c r="W225"/>
      <c r="X225"/>
      <c r="Y225"/>
      <c r="Z225"/>
      <c r="AA225"/>
      <c r="AB225"/>
      <c r="AC225"/>
      <c r="AD225"/>
    </row>
    <row r="226" spans="2:30" ht="20.25" customHeight="1">
      <c r="B226">
        <v>2</v>
      </c>
      <c r="C226">
        <v>93.7</v>
      </c>
      <c r="D226">
        <v>157.30000000000001</v>
      </c>
      <c r="E226">
        <v>64.400000000000006</v>
      </c>
      <c r="F226">
        <v>50.8</v>
      </c>
      <c r="G226" s="198">
        <v>2004</v>
      </c>
      <c r="H226" s="198">
        <v>92</v>
      </c>
      <c r="I226" s="198">
        <v>2.97</v>
      </c>
      <c r="J226" s="198">
        <v>3.23</v>
      </c>
      <c r="K226" s="198">
        <v>9.4</v>
      </c>
      <c r="L226" s="198">
        <v>68</v>
      </c>
      <c r="M226" s="198">
        <v>5500</v>
      </c>
      <c r="N226" s="198">
        <v>31</v>
      </c>
      <c r="O226" s="198">
        <v>38</v>
      </c>
      <c r="P226">
        <v>0</v>
      </c>
      <c r="Q226">
        <v>0</v>
      </c>
      <c r="R226">
        <v>0</v>
      </c>
      <c r="S226">
        <v>0</v>
      </c>
      <c r="T226">
        <v>1</v>
      </c>
      <c r="U226">
        <v>0</v>
      </c>
      <c r="V226">
        <v>6669</v>
      </c>
      <c r="W226"/>
      <c r="X226"/>
      <c r="Y226"/>
      <c r="Z226"/>
      <c r="AA226"/>
      <c r="AB226"/>
      <c r="AC226"/>
      <c r="AD226"/>
    </row>
    <row r="227" spans="2:30" ht="20.25" customHeight="1">
      <c r="B227">
        <v>1</v>
      </c>
      <c r="C227">
        <v>93</v>
      </c>
      <c r="D227">
        <v>157.30000000000001</v>
      </c>
      <c r="E227">
        <v>63.8</v>
      </c>
      <c r="F227">
        <v>50.8</v>
      </c>
      <c r="G227" s="198">
        <v>2145</v>
      </c>
      <c r="H227" s="198">
        <v>98</v>
      </c>
      <c r="I227" s="198">
        <v>3.03</v>
      </c>
      <c r="J227" s="198">
        <v>3.39</v>
      </c>
      <c r="K227" s="198">
        <v>7.6</v>
      </c>
      <c r="L227" s="198">
        <v>102</v>
      </c>
      <c r="M227" s="198">
        <v>5500</v>
      </c>
      <c r="N227" s="198">
        <v>24</v>
      </c>
      <c r="O227" s="198">
        <v>30</v>
      </c>
      <c r="P227">
        <v>0</v>
      </c>
      <c r="Q227">
        <v>1</v>
      </c>
      <c r="R227">
        <v>0</v>
      </c>
      <c r="S227">
        <v>0</v>
      </c>
      <c r="T227">
        <v>1</v>
      </c>
      <c r="U227">
        <v>0</v>
      </c>
      <c r="V227">
        <v>7689</v>
      </c>
      <c r="W227"/>
      <c r="X227"/>
      <c r="Y227"/>
      <c r="Z227"/>
      <c r="AA227"/>
      <c r="AB227"/>
      <c r="AC227"/>
      <c r="AD227"/>
    </row>
    <row r="228" spans="2:30" ht="20.25" customHeight="1">
      <c r="B228">
        <v>3</v>
      </c>
      <c r="C228">
        <v>96.3</v>
      </c>
      <c r="D228">
        <v>173</v>
      </c>
      <c r="E228">
        <v>65.400000000000006</v>
      </c>
      <c r="F228">
        <v>49.4</v>
      </c>
      <c r="G228" s="198">
        <v>2370</v>
      </c>
      <c r="H228" s="198">
        <v>110</v>
      </c>
      <c r="I228" s="198">
        <v>3.17</v>
      </c>
      <c r="J228" s="198">
        <v>3.46</v>
      </c>
      <c r="K228" s="198">
        <v>7.5</v>
      </c>
      <c r="L228" s="198">
        <v>116</v>
      </c>
      <c r="M228" s="198">
        <v>5500</v>
      </c>
      <c r="N228" s="198">
        <v>23</v>
      </c>
      <c r="O228" s="198">
        <v>30</v>
      </c>
      <c r="P228">
        <v>0</v>
      </c>
      <c r="Q228">
        <v>1</v>
      </c>
      <c r="R228">
        <v>0</v>
      </c>
      <c r="S228">
        <v>0</v>
      </c>
      <c r="T228">
        <v>1</v>
      </c>
      <c r="U228">
        <v>0</v>
      </c>
      <c r="V228">
        <v>9959</v>
      </c>
      <c r="W228"/>
      <c r="X228"/>
      <c r="Y228"/>
      <c r="Z228"/>
      <c r="AA228"/>
      <c r="AB228"/>
      <c r="AC228"/>
      <c r="AD228"/>
    </row>
    <row r="229" spans="2:30" ht="20.25" customHeight="1">
      <c r="B229">
        <v>3</v>
      </c>
      <c r="C229">
        <v>96.3</v>
      </c>
      <c r="D229">
        <v>173</v>
      </c>
      <c r="E229">
        <v>65.400000000000006</v>
      </c>
      <c r="F229">
        <v>49.4</v>
      </c>
      <c r="G229" s="198">
        <v>2328</v>
      </c>
      <c r="H229" s="198">
        <v>122</v>
      </c>
      <c r="I229" s="198">
        <v>3.35</v>
      </c>
      <c r="J229" s="198">
        <v>3.46</v>
      </c>
      <c r="K229" s="198">
        <v>8.5</v>
      </c>
      <c r="L229" s="198">
        <v>88</v>
      </c>
      <c r="M229" s="198">
        <v>5000</v>
      </c>
      <c r="N229" s="198">
        <v>25</v>
      </c>
      <c r="O229" s="198">
        <v>32</v>
      </c>
      <c r="P229">
        <v>0</v>
      </c>
      <c r="Q229">
        <v>0</v>
      </c>
      <c r="R229">
        <v>0</v>
      </c>
      <c r="S229">
        <v>0</v>
      </c>
      <c r="T229">
        <v>1</v>
      </c>
      <c r="U229">
        <v>0</v>
      </c>
      <c r="V229">
        <v>8499</v>
      </c>
      <c r="W229"/>
      <c r="X229"/>
      <c r="Y229"/>
      <c r="Z229"/>
      <c r="AA229"/>
      <c r="AB229"/>
      <c r="AC229"/>
      <c r="AD229"/>
    </row>
    <row r="230" spans="2:30" ht="20.25" customHeight="1">
      <c r="B230">
        <v>3</v>
      </c>
      <c r="C230">
        <v>95.9</v>
      </c>
      <c r="D230">
        <v>173.2</v>
      </c>
      <c r="E230">
        <v>66.3</v>
      </c>
      <c r="F230">
        <v>50.2</v>
      </c>
      <c r="G230" s="198">
        <v>2833</v>
      </c>
      <c r="H230" s="198">
        <v>156</v>
      </c>
      <c r="I230" s="198">
        <v>3.58</v>
      </c>
      <c r="J230" s="198">
        <v>3.86</v>
      </c>
      <c r="K230" s="198">
        <v>7</v>
      </c>
      <c r="L230" s="198">
        <v>145</v>
      </c>
      <c r="M230" s="198">
        <v>5000</v>
      </c>
      <c r="N230" s="198">
        <v>19</v>
      </c>
      <c r="O230" s="198">
        <v>24</v>
      </c>
      <c r="P230">
        <v>0</v>
      </c>
      <c r="Q230">
        <v>1</v>
      </c>
      <c r="R230">
        <v>0</v>
      </c>
      <c r="S230">
        <v>0</v>
      </c>
      <c r="T230">
        <v>1</v>
      </c>
      <c r="U230">
        <v>0</v>
      </c>
      <c r="V230">
        <v>12629</v>
      </c>
      <c r="W230"/>
      <c r="X230"/>
      <c r="Y230"/>
      <c r="Z230"/>
      <c r="AA230"/>
      <c r="AB230"/>
      <c r="AC230"/>
      <c r="AD230"/>
    </row>
    <row r="231" spans="2:30" ht="20.25" customHeight="1">
      <c r="B231">
        <v>3</v>
      </c>
      <c r="C231">
        <v>95.9</v>
      </c>
      <c r="D231">
        <v>173.2</v>
      </c>
      <c r="E231">
        <v>66.3</v>
      </c>
      <c r="F231">
        <v>50.2</v>
      </c>
      <c r="G231" s="198">
        <v>2921</v>
      </c>
      <c r="H231" s="198">
        <v>156</v>
      </c>
      <c r="I231" s="198">
        <v>3.59</v>
      </c>
      <c r="J231" s="198">
        <v>3.86</v>
      </c>
      <c r="K231" s="198">
        <v>7</v>
      </c>
      <c r="L231" s="198">
        <v>145</v>
      </c>
      <c r="M231" s="198">
        <v>5000</v>
      </c>
      <c r="N231" s="198">
        <v>19</v>
      </c>
      <c r="O231" s="198">
        <v>24</v>
      </c>
      <c r="P231">
        <v>0</v>
      </c>
      <c r="Q231">
        <v>1</v>
      </c>
      <c r="R231">
        <v>0</v>
      </c>
      <c r="S231">
        <v>0</v>
      </c>
      <c r="T231">
        <v>1</v>
      </c>
      <c r="U231">
        <v>0</v>
      </c>
      <c r="V231">
        <v>14869</v>
      </c>
      <c r="W231"/>
      <c r="X231"/>
      <c r="Y231"/>
      <c r="Z231"/>
      <c r="AA231"/>
      <c r="AB231"/>
      <c r="AC231"/>
      <c r="AD231"/>
    </row>
    <row r="232" spans="2:30" ht="20.25" customHeight="1">
      <c r="B232">
        <v>3</v>
      </c>
      <c r="C232">
        <v>95.9</v>
      </c>
      <c r="D232">
        <v>173.2</v>
      </c>
      <c r="E232">
        <v>66.3</v>
      </c>
      <c r="F232">
        <v>50.2</v>
      </c>
      <c r="G232" s="198">
        <v>2926</v>
      </c>
      <c r="H232" s="198">
        <v>156</v>
      </c>
      <c r="I232" s="198">
        <v>3.59</v>
      </c>
      <c r="J232" s="198">
        <v>3.86</v>
      </c>
      <c r="K232" s="198">
        <v>7</v>
      </c>
      <c r="L232" s="198">
        <v>145</v>
      </c>
      <c r="M232" s="198">
        <v>5000</v>
      </c>
      <c r="N232" s="198">
        <v>19</v>
      </c>
      <c r="O232" s="198">
        <v>24</v>
      </c>
      <c r="P232">
        <v>0</v>
      </c>
      <c r="Q232">
        <v>1</v>
      </c>
      <c r="R232">
        <v>0</v>
      </c>
      <c r="S232">
        <v>0</v>
      </c>
      <c r="T232">
        <v>1</v>
      </c>
      <c r="U232">
        <v>0</v>
      </c>
      <c r="V232">
        <v>14489</v>
      </c>
      <c r="W232"/>
      <c r="X232"/>
      <c r="Y232"/>
      <c r="Z232"/>
      <c r="AA232"/>
      <c r="AB232"/>
      <c r="AC232"/>
      <c r="AD232"/>
    </row>
    <row r="233" spans="2:30" ht="20.25" customHeight="1">
      <c r="B233">
        <v>1</v>
      </c>
      <c r="C233">
        <v>96.3</v>
      </c>
      <c r="D233">
        <v>172.4</v>
      </c>
      <c r="E233">
        <v>65.400000000000006</v>
      </c>
      <c r="F233">
        <v>51.6</v>
      </c>
      <c r="G233" s="198">
        <v>2365</v>
      </c>
      <c r="H233" s="198">
        <v>122</v>
      </c>
      <c r="I233" s="198">
        <v>3.35</v>
      </c>
      <c r="J233" s="198">
        <v>3.46</v>
      </c>
      <c r="K233" s="198">
        <v>8.5</v>
      </c>
      <c r="L233" s="198">
        <v>88</v>
      </c>
      <c r="M233" s="198">
        <v>5000</v>
      </c>
      <c r="N233" s="198">
        <v>25</v>
      </c>
      <c r="O233" s="198">
        <v>32</v>
      </c>
      <c r="P233">
        <v>0</v>
      </c>
      <c r="Q233">
        <v>0</v>
      </c>
      <c r="R233">
        <v>1</v>
      </c>
      <c r="S233">
        <v>0</v>
      </c>
      <c r="T233">
        <v>1</v>
      </c>
      <c r="U233">
        <v>0</v>
      </c>
      <c r="V233">
        <v>6989</v>
      </c>
      <c r="W233"/>
      <c r="X233"/>
      <c r="Y233"/>
      <c r="Z233"/>
      <c r="AA233"/>
      <c r="AB233"/>
      <c r="AC233"/>
      <c r="AD233"/>
    </row>
    <row r="234" spans="2:30" ht="20.25" customHeight="1">
      <c r="B234">
        <v>1</v>
      </c>
      <c r="C234">
        <v>96.3</v>
      </c>
      <c r="D234">
        <v>172.4</v>
      </c>
      <c r="E234">
        <v>65.400000000000006</v>
      </c>
      <c r="F234">
        <v>51.6</v>
      </c>
      <c r="G234" s="198">
        <v>2405</v>
      </c>
      <c r="H234" s="198">
        <v>122</v>
      </c>
      <c r="I234" s="198">
        <v>3.35</v>
      </c>
      <c r="J234" s="198">
        <v>3.46</v>
      </c>
      <c r="K234" s="198">
        <v>8.5</v>
      </c>
      <c r="L234" s="198">
        <v>88</v>
      </c>
      <c r="M234" s="198">
        <v>5000</v>
      </c>
      <c r="N234" s="198">
        <v>25</v>
      </c>
      <c r="O234" s="198">
        <v>32</v>
      </c>
      <c r="P234">
        <v>0</v>
      </c>
      <c r="Q234">
        <v>0</v>
      </c>
      <c r="R234">
        <v>1</v>
      </c>
      <c r="S234">
        <v>0</v>
      </c>
      <c r="T234">
        <v>1</v>
      </c>
      <c r="U234">
        <v>0</v>
      </c>
      <c r="V234">
        <v>8189</v>
      </c>
      <c r="W234"/>
      <c r="X234"/>
      <c r="Y234"/>
      <c r="Z234"/>
      <c r="AA234"/>
      <c r="AB234"/>
      <c r="AC234"/>
      <c r="AD234"/>
    </row>
    <row r="235" spans="2:30" ht="20.25" customHeight="1">
      <c r="B235">
        <v>1</v>
      </c>
      <c r="C235">
        <v>96.3</v>
      </c>
      <c r="D235">
        <v>172.4</v>
      </c>
      <c r="E235">
        <v>65.400000000000006</v>
      </c>
      <c r="F235">
        <v>51.6</v>
      </c>
      <c r="G235" s="198">
        <v>2403</v>
      </c>
      <c r="H235" s="198">
        <v>110</v>
      </c>
      <c r="I235" s="198">
        <v>3.17</v>
      </c>
      <c r="J235" s="198">
        <v>3.46</v>
      </c>
      <c r="K235" s="198">
        <v>7.5</v>
      </c>
      <c r="L235" s="198">
        <v>116</v>
      </c>
      <c r="M235" s="198">
        <v>5500</v>
      </c>
      <c r="N235" s="198">
        <v>23</v>
      </c>
      <c r="O235" s="198">
        <v>30</v>
      </c>
      <c r="P235">
        <v>0</v>
      </c>
      <c r="Q235">
        <v>1</v>
      </c>
      <c r="R235">
        <v>1</v>
      </c>
      <c r="S235">
        <v>0</v>
      </c>
      <c r="T235">
        <v>1</v>
      </c>
      <c r="U235">
        <v>0</v>
      </c>
      <c r="V235">
        <v>9279</v>
      </c>
      <c r="W235"/>
      <c r="X235"/>
      <c r="Y235"/>
      <c r="Z235"/>
      <c r="AA235"/>
      <c r="AB235"/>
      <c r="AC235"/>
      <c r="AD235"/>
    </row>
    <row r="236" spans="2:30" ht="20.25" customHeight="1">
      <c r="B236">
        <v>-1</v>
      </c>
      <c r="C236">
        <v>96.3</v>
      </c>
      <c r="D236">
        <v>172.4</v>
      </c>
      <c r="E236">
        <v>65.400000000000006</v>
      </c>
      <c r="F236">
        <v>51.6</v>
      </c>
      <c r="G236" s="198">
        <v>2403</v>
      </c>
      <c r="H236" s="198">
        <v>110</v>
      </c>
      <c r="I236" s="198">
        <v>3.17</v>
      </c>
      <c r="J236" s="198">
        <v>3.46</v>
      </c>
      <c r="K236" s="198">
        <v>7.5</v>
      </c>
      <c r="L236" s="198">
        <v>116</v>
      </c>
      <c r="M236" s="198">
        <v>5500</v>
      </c>
      <c r="N236" s="198">
        <v>23</v>
      </c>
      <c r="O236" s="198">
        <v>30</v>
      </c>
      <c r="P236">
        <v>0</v>
      </c>
      <c r="Q236">
        <v>0</v>
      </c>
      <c r="R236">
        <v>1</v>
      </c>
      <c r="S236">
        <v>0</v>
      </c>
      <c r="T236">
        <v>1</v>
      </c>
      <c r="U236">
        <v>0</v>
      </c>
      <c r="V236">
        <v>9279</v>
      </c>
      <c r="W236"/>
      <c r="X236"/>
      <c r="Y236"/>
      <c r="Z236"/>
      <c r="AA236"/>
      <c r="AB236"/>
      <c r="AC236"/>
      <c r="AD236"/>
    </row>
    <row r="237" spans="2:30" ht="20.25" customHeight="1">
      <c r="B237">
        <v>1</v>
      </c>
      <c r="C237">
        <v>94.5</v>
      </c>
      <c r="D237">
        <v>165.3</v>
      </c>
      <c r="E237">
        <v>63.8</v>
      </c>
      <c r="F237">
        <v>54.5</v>
      </c>
      <c r="G237" s="198">
        <v>1889</v>
      </c>
      <c r="H237" s="198">
        <v>97</v>
      </c>
      <c r="I237" s="198">
        <v>3.15</v>
      </c>
      <c r="J237" s="198">
        <v>3.29</v>
      </c>
      <c r="K237" s="198">
        <v>9.4</v>
      </c>
      <c r="L237" s="198">
        <v>69</v>
      </c>
      <c r="M237" s="198">
        <v>5200</v>
      </c>
      <c r="N237" s="198">
        <v>31</v>
      </c>
      <c r="O237" s="198">
        <v>37</v>
      </c>
      <c r="P237">
        <v>0</v>
      </c>
      <c r="Q237">
        <v>0</v>
      </c>
      <c r="R237">
        <v>0</v>
      </c>
      <c r="S237">
        <v>0</v>
      </c>
      <c r="T237">
        <v>1</v>
      </c>
      <c r="U237">
        <v>0</v>
      </c>
      <c r="V237">
        <v>5499</v>
      </c>
      <c r="W237"/>
      <c r="X237"/>
      <c r="Y237"/>
      <c r="Z237"/>
      <c r="AA237"/>
      <c r="AB237"/>
      <c r="AC237"/>
      <c r="AD237"/>
    </row>
    <row r="238" spans="2:30" ht="20.25" customHeight="1">
      <c r="B238">
        <v>1</v>
      </c>
      <c r="C238">
        <v>94.5</v>
      </c>
      <c r="D238">
        <v>165.3</v>
      </c>
      <c r="E238">
        <v>63.8</v>
      </c>
      <c r="F238">
        <v>54.5</v>
      </c>
      <c r="G238" s="198">
        <v>2017</v>
      </c>
      <c r="H238" s="198">
        <v>103</v>
      </c>
      <c r="I238" s="198">
        <v>2.99</v>
      </c>
      <c r="J238" s="198">
        <v>3.47</v>
      </c>
      <c r="K238" s="198">
        <v>21.9</v>
      </c>
      <c r="L238" s="198">
        <v>55</v>
      </c>
      <c r="M238" s="198">
        <v>4800</v>
      </c>
      <c r="N238" s="198">
        <v>45</v>
      </c>
      <c r="O238" s="198">
        <v>50</v>
      </c>
      <c r="P238">
        <v>1</v>
      </c>
      <c r="Q238">
        <v>0</v>
      </c>
      <c r="R238">
        <v>0</v>
      </c>
      <c r="S238">
        <v>0</v>
      </c>
      <c r="T238">
        <v>1</v>
      </c>
      <c r="U238">
        <v>0</v>
      </c>
      <c r="V238">
        <v>7099</v>
      </c>
      <c r="W238"/>
      <c r="X238"/>
      <c r="Y238"/>
      <c r="Z238"/>
      <c r="AA238"/>
      <c r="AB238"/>
      <c r="AC238"/>
      <c r="AD238"/>
    </row>
    <row r="239" spans="2:30" ht="20.25" customHeight="1">
      <c r="B239">
        <v>1</v>
      </c>
      <c r="C239">
        <v>94.5</v>
      </c>
      <c r="D239">
        <v>165.3</v>
      </c>
      <c r="E239">
        <v>63.8</v>
      </c>
      <c r="F239">
        <v>54.5</v>
      </c>
      <c r="G239" s="198">
        <v>1918</v>
      </c>
      <c r="H239" s="198">
        <v>97</v>
      </c>
      <c r="I239" s="198">
        <v>3.15</v>
      </c>
      <c r="J239" s="198">
        <v>3.29</v>
      </c>
      <c r="K239" s="198">
        <v>9.4</v>
      </c>
      <c r="L239" s="198">
        <v>69</v>
      </c>
      <c r="M239" s="198">
        <v>5200</v>
      </c>
      <c r="N239" s="198">
        <v>31</v>
      </c>
      <c r="O239" s="198">
        <v>37</v>
      </c>
      <c r="P239">
        <v>0</v>
      </c>
      <c r="Q239">
        <v>0</v>
      </c>
      <c r="R239">
        <v>0</v>
      </c>
      <c r="S239">
        <v>0</v>
      </c>
      <c r="T239">
        <v>1</v>
      </c>
      <c r="U239">
        <v>0</v>
      </c>
      <c r="V239">
        <v>6649</v>
      </c>
      <c r="W239"/>
      <c r="X239"/>
      <c r="Y239"/>
      <c r="Z239"/>
      <c r="AA239"/>
      <c r="AB239"/>
      <c r="AC239"/>
      <c r="AD239"/>
    </row>
    <row r="240" spans="2:30" ht="20.25" customHeight="1">
      <c r="B240">
        <v>1</v>
      </c>
      <c r="C240">
        <v>94.5</v>
      </c>
      <c r="D240">
        <v>165.3</v>
      </c>
      <c r="E240">
        <v>63.8</v>
      </c>
      <c r="F240">
        <v>54.5</v>
      </c>
      <c r="G240" s="198">
        <v>1938</v>
      </c>
      <c r="H240" s="198">
        <v>97</v>
      </c>
      <c r="I240" s="198">
        <v>3.15</v>
      </c>
      <c r="J240" s="198">
        <v>3.29</v>
      </c>
      <c r="K240" s="198">
        <v>9.4</v>
      </c>
      <c r="L240" s="198">
        <v>69</v>
      </c>
      <c r="M240" s="198">
        <v>5200</v>
      </c>
      <c r="N240" s="198">
        <v>31</v>
      </c>
      <c r="O240" s="198">
        <v>37</v>
      </c>
      <c r="P240">
        <v>0</v>
      </c>
      <c r="Q240">
        <v>0</v>
      </c>
      <c r="R240">
        <v>1</v>
      </c>
      <c r="S240">
        <v>0</v>
      </c>
      <c r="T240">
        <v>1</v>
      </c>
      <c r="U240">
        <v>0</v>
      </c>
      <c r="V240">
        <v>6849</v>
      </c>
      <c r="W240"/>
      <c r="X240"/>
      <c r="Y240"/>
      <c r="Z240"/>
      <c r="AA240"/>
      <c r="AB240"/>
      <c r="AC240"/>
      <c r="AD240"/>
    </row>
    <row r="241" spans="2:30" ht="20.25" customHeight="1">
      <c r="B241">
        <v>1</v>
      </c>
      <c r="C241">
        <v>94.5</v>
      </c>
      <c r="D241">
        <v>170.2</v>
      </c>
      <c r="E241">
        <v>63.8</v>
      </c>
      <c r="F241">
        <v>53.5</v>
      </c>
      <c r="G241" s="198">
        <v>2024</v>
      </c>
      <c r="H241" s="198">
        <v>97</v>
      </c>
      <c r="I241" s="198">
        <v>3.15</v>
      </c>
      <c r="J241" s="198">
        <v>3.29</v>
      </c>
      <c r="K241" s="198">
        <v>9.4</v>
      </c>
      <c r="L241" s="198">
        <v>69</v>
      </c>
      <c r="M241" s="198">
        <v>5200</v>
      </c>
      <c r="N241" s="198">
        <v>31</v>
      </c>
      <c r="O241" s="198">
        <v>37</v>
      </c>
      <c r="P241">
        <v>0</v>
      </c>
      <c r="Q241">
        <v>0</v>
      </c>
      <c r="R241">
        <v>1</v>
      </c>
      <c r="S241">
        <v>0</v>
      </c>
      <c r="T241">
        <v>1</v>
      </c>
      <c r="U241">
        <v>0</v>
      </c>
      <c r="V241">
        <v>7349</v>
      </c>
      <c r="W241"/>
      <c r="X241"/>
      <c r="Y241"/>
      <c r="Z241"/>
      <c r="AA241"/>
      <c r="AB241"/>
      <c r="AC241"/>
      <c r="AD241"/>
    </row>
    <row r="242" spans="2:30" ht="20.25" customHeight="1">
      <c r="B242">
        <v>1</v>
      </c>
      <c r="C242">
        <v>94.5</v>
      </c>
      <c r="D242">
        <v>165.3</v>
      </c>
      <c r="E242">
        <v>63.8</v>
      </c>
      <c r="F242">
        <v>54.5</v>
      </c>
      <c r="G242" s="198">
        <v>1951</v>
      </c>
      <c r="H242" s="198">
        <v>97</v>
      </c>
      <c r="I242" s="198">
        <v>3.15</v>
      </c>
      <c r="J242" s="198">
        <v>3.29</v>
      </c>
      <c r="K242" s="198">
        <v>9.4</v>
      </c>
      <c r="L242" s="198">
        <v>69</v>
      </c>
      <c r="M242" s="198">
        <v>5200</v>
      </c>
      <c r="N242" s="198">
        <v>31</v>
      </c>
      <c r="O242" s="198">
        <v>37</v>
      </c>
      <c r="P242">
        <v>0</v>
      </c>
      <c r="Q242">
        <v>0</v>
      </c>
      <c r="R242">
        <v>0</v>
      </c>
      <c r="S242">
        <v>0</v>
      </c>
      <c r="T242">
        <v>1</v>
      </c>
      <c r="U242">
        <v>0</v>
      </c>
      <c r="V242">
        <v>7299</v>
      </c>
      <c r="W242"/>
      <c r="X242"/>
      <c r="Y242"/>
      <c r="Z242"/>
      <c r="AA242"/>
      <c r="AB242"/>
      <c r="AC242"/>
      <c r="AD242"/>
    </row>
    <row r="243" spans="2:30" ht="20.25" customHeight="1">
      <c r="B243">
        <v>1</v>
      </c>
      <c r="C243">
        <v>94.5</v>
      </c>
      <c r="D243">
        <v>165.6</v>
      </c>
      <c r="E243">
        <v>63.8</v>
      </c>
      <c r="F243">
        <v>53.3</v>
      </c>
      <c r="G243" s="198">
        <v>2028</v>
      </c>
      <c r="H243" s="198">
        <v>97</v>
      </c>
      <c r="I243" s="198">
        <v>3.15</v>
      </c>
      <c r="J243" s="198">
        <v>3.29</v>
      </c>
      <c r="K243" s="198">
        <v>9.4</v>
      </c>
      <c r="L243" s="198">
        <v>69</v>
      </c>
      <c r="M243" s="198">
        <v>5200</v>
      </c>
      <c r="N243" s="198">
        <v>31</v>
      </c>
      <c r="O243" s="198">
        <v>37</v>
      </c>
      <c r="P243">
        <v>0</v>
      </c>
      <c r="Q243">
        <v>0</v>
      </c>
      <c r="R243">
        <v>0</v>
      </c>
      <c r="S243">
        <v>0</v>
      </c>
      <c r="T243">
        <v>1</v>
      </c>
      <c r="U243">
        <v>0</v>
      </c>
      <c r="V243">
        <v>7799</v>
      </c>
      <c r="W243"/>
      <c r="X243"/>
      <c r="Y243"/>
      <c r="Z243"/>
      <c r="AA243"/>
      <c r="AB243"/>
      <c r="AC243"/>
      <c r="AD243"/>
    </row>
    <row r="244" spans="2:30" ht="20.25" customHeight="1">
      <c r="B244">
        <v>1</v>
      </c>
      <c r="C244">
        <v>94.5</v>
      </c>
      <c r="D244">
        <v>165.3</v>
      </c>
      <c r="E244">
        <v>63.8</v>
      </c>
      <c r="F244">
        <v>54.5</v>
      </c>
      <c r="G244" s="198">
        <v>1971</v>
      </c>
      <c r="H244" s="198">
        <v>97</v>
      </c>
      <c r="I244" s="198">
        <v>3.15</v>
      </c>
      <c r="J244" s="198">
        <v>3.29</v>
      </c>
      <c r="K244" s="198">
        <v>9.4</v>
      </c>
      <c r="L244" s="198">
        <v>69</v>
      </c>
      <c r="M244" s="198">
        <v>5200</v>
      </c>
      <c r="N244" s="198">
        <v>31</v>
      </c>
      <c r="O244" s="198">
        <v>37</v>
      </c>
      <c r="P244">
        <v>0</v>
      </c>
      <c r="Q244">
        <v>0</v>
      </c>
      <c r="R244">
        <v>1</v>
      </c>
      <c r="S244">
        <v>0</v>
      </c>
      <c r="T244">
        <v>1</v>
      </c>
      <c r="U244">
        <v>0</v>
      </c>
      <c r="V244">
        <v>7499</v>
      </c>
      <c r="W244"/>
      <c r="X244"/>
      <c r="Y244"/>
      <c r="Z244"/>
      <c r="AA244"/>
      <c r="AB244"/>
      <c r="AC244"/>
      <c r="AD244"/>
    </row>
    <row r="245" spans="2:30" ht="20.25" customHeight="1">
      <c r="B245">
        <v>1</v>
      </c>
      <c r="C245">
        <v>94.5</v>
      </c>
      <c r="D245">
        <v>170.2</v>
      </c>
      <c r="E245">
        <v>63.8</v>
      </c>
      <c r="F245">
        <v>53.5</v>
      </c>
      <c r="G245" s="198">
        <v>2037</v>
      </c>
      <c r="H245" s="198">
        <v>97</v>
      </c>
      <c r="I245" s="198">
        <v>3.15</v>
      </c>
      <c r="J245" s="198">
        <v>3.29</v>
      </c>
      <c r="K245" s="198">
        <v>9.4</v>
      </c>
      <c r="L245" s="198">
        <v>69</v>
      </c>
      <c r="M245" s="198">
        <v>5200</v>
      </c>
      <c r="N245" s="198">
        <v>31</v>
      </c>
      <c r="O245" s="198">
        <v>37</v>
      </c>
      <c r="P245">
        <v>0</v>
      </c>
      <c r="Q245">
        <v>0</v>
      </c>
      <c r="R245">
        <v>1</v>
      </c>
      <c r="S245">
        <v>0</v>
      </c>
      <c r="T245">
        <v>1</v>
      </c>
      <c r="U245">
        <v>0</v>
      </c>
      <c r="V245">
        <v>7999</v>
      </c>
      <c r="W245"/>
      <c r="X245"/>
      <c r="Y245"/>
      <c r="Z245"/>
      <c r="AA245"/>
      <c r="AB245"/>
      <c r="AC245"/>
      <c r="AD245"/>
    </row>
    <row r="246" spans="2:30" ht="20.25" customHeight="1">
      <c r="B246">
        <v>2</v>
      </c>
      <c r="C246">
        <v>95.1</v>
      </c>
      <c r="D246">
        <v>162.4</v>
      </c>
      <c r="E246">
        <v>63.8</v>
      </c>
      <c r="F246">
        <v>53.3</v>
      </c>
      <c r="G246" s="198">
        <v>2008</v>
      </c>
      <c r="H246" s="198">
        <v>97</v>
      </c>
      <c r="I246" s="198">
        <v>3.15</v>
      </c>
      <c r="J246" s="198">
        <v>3.29</v>
      </c>
      <c r="K246" s="198">
        <v>9.4</v>
      </c>
      <c r="L246" s="198">
        <v>69</v>
      </c>
      <c r="M246" s="198">
        <v>5200</v>
      </c>
      <c r="N246" s="198">
        <v>31</v>
      </c>
      <c r="O246" s="198">
        <v>37</v>
      </c>
      <c r="P246">
        <v>0</v>
      </c>
      <c r="Q246">
        <v>0</v>
      </c>
      <c r="R246">
        <v>0</v>
      </c>
      <c r="S246">
        <v>0</v>
      </c>
      <c r="T246">
        <v>1</v>
      </c>
      <c r="U246">
        <v>0</v>
      </c>
      <c r="V246">
        <v>8249</v>
      </c>
      <c r="W246"/>
      <c r="X246"/>
      <c r="Y246"/>
      <c r="Z246"/>
      <c r="AA246"/>
      <c r="AB246"/>
      <c r="AC246"/>
      <c r="AD246"/>
    </row>
    <row r="247" spans="2:30" ht="20.25" customHeight="1">
      <c r="B247">
        <v>0</v>
      </c>
      <c r="C247">
        <v>97.2</v>
      </c>
      <c r="D247">
        <v>173.4</v>
      </c>
      <c r="E247">
        <v>65.2</v>
      </c>
      <c r="F247">
        <v>54.7</v>
      </c>
      <c r="G247" s="198">
        <v>2324</v>
      </c>
      <c r="H247" s="198">
        <v>120</v>
      </c>
      <c r="I247" s="198">
        <v>3.33</v>
      </c>
      <c r="J247" s="198">
        <v>3.47</v>
      </c>
      <c r="K247" s="198">
        <v>8.5</v>
      </c>
      <c r="L247" s="198">
        <v>97</v>
      </c>
      <c r="M247" s="198">
        <v>5200</v>
      </c>
      <c r="N247" s="198">
        <v>27</v>
      </c>
      <c r="O247" s="198">
        <v>34</v>
      </c>
      <c r="P247">
        <v>0</v>
      </c>
      <c r="Q247">
        <v>0</v>
      </c>
      <c r="R247">
        <v>1</v>
      </c>
      <c r="S247">
        <v>0</v>
      </c>
      <c r="T247">
        <v>1</v>
      </c>
      <c r="U247">
        <v>0</v>
      </c>
      <c r="V247">
        <v>8949</v>
      </c>
      <c r="W247"/>
      <c r="X247"/>
      <c r="Y247"/>
      <c r="Z247"/>
      <c r="AA247"/>
      <c r="AB247"/>
      <c r="AC247"/>
      <c r="AD247"/>
    </row>
    <row r="248" spans="2:30" ht="20.25" customHeight="1">
      <c r="B248">
        <v>0</v>
      </c>
      <c r="C248">
        <v>97.2</v>
      </c>
      <c r="D248">
        <v>173.4</v>
      </c>
      <c r="E248">
        <v>65.2</v>
      </c>
      <c r="F248">
        <v>54.7</v>
      </c>
      <c r="G248" s="198">
        <v>2302</v>
      </c>
      <c r="H248" s="198">
        <v>120</v>
      </c>
      <c r="I248" s="198">
        <v>3.33</v>
      </c>
      <c r="J248" s="198">
        <v>3.47</v>
      </c>
      <c r="K248" s="198">
        <v>8.5</v>
      </c>
      <c r="L248" s="198">
        <v>97</v>
      </c>
      <c r="M248" s="198">
        <v>5200</v>
      </c>
      <c r="N248" s="198">
        <v>27</v>
      </c>
      <c r="O248" s="198">
        <v>34</v>
      </c>
      <c r="P248">
        <v>0</v>
      </c>
      <c r="Q248">
        <v>0</v>
      </c>
      <c r="R248">
        <v>1</v>
      </c>
      <c r="S248">
        <v>0</v>
      </c>
      <c r="T248">
        <v>1</v>
      </c>
      <c r="U248">
        <v>0</v>
      </c>
      <c r="V248">
        <v>9549</v>
      </c>
      <c r="W248"/>
      <c r="X248"/>
      <c r="Y248"/>
      <c r="Z248"/>
      <c r="AA248"/>
      <c r="AB248"/>
      <c r="AC248"/>
      <c r="AD248"/>
    </row>
    <row r="249" spans="2:30" ht="20.25" customHeight="1">
      <c r="B249">
        <v>0</v>
      </c>
      <c r="C249">
        <v>100.4</v>
      </c>
      <c r="D249">
        <v>181.7</v>
      </c>
      <c r="E249">
        <v>66.5</v>
      </c>
      <c r="F249">
        <v>55.1</v>
      </c>
      <c r="G249" s="198">
        <v>3095</v>
      </c>
      <c r="H249" s="198">
        <v>181</v>
      </c>
      <c r="I249" s="198">
        <v>3.43</v>
      </c>
      <c r="J249" s="198">
        <v>3.27</v>
      </c>
      <c r="K249" s="198">
        <v>9</v>
      </c>
      <c r="L249" s="198">
        <v>152</v>
      </c>
      <c r="M249" s="198">
        <v>5200</v>
      </c>
      <c r="N249" s="198">
        <v>17</v>
      </c>
      <c r="O249" s="198">
        <v>22</v>
      </c>
      <c r="P249">
        <v>0</v>
      </c>
      <c r="Q249">
        <v>0</v>
      </c>
      <c r="R249">
        <v>1</v>
      </c>
      <c r="S249">
        <v>0</v>
      </c>
      <c r="T249">
        <v>1</v>
      </c>
      <c r="U249">
        <v>0</v>
      </c>
      <c r="V249">
        <v>13499</v>
      </c>
      <c r="W249"/>
      <c r="X249"/>
      <c r="Y249"/>
      <c r="Z249"/>
      <c r="AA249"/>
      <c r="AB249"/>
      <c r="AC249"/>
      <c r="AD249"/>
    </row>
    <row r="250" spans="2:30" ht="20.25" customHeight="1">
      <c r="B250">
        <v>0</v>
      </c>
      <c r="C250">
        <v>100.4</v>
      </c>
      <c r="D250">
        <v>184.6</v>
      </c>
      <c r="E250">
        <v>66.5</v>
      </c>
      <c r="F250">
        <v>56.1</v>
      </c>
      <c r="G250" s="198">
        <v>3296</v>
      </c>
      <c r="H250" s="198">
        <v>181</v>
      </c>
      <c r="I250" s="198">
        <v>3.43</v>
      </c>
      <c r="J250" s="198">
        <v>3.27</v>
      </c>
      <c r="K250" s="198">
        <v>9</v>
      </c>
      <c r="L250" s="198">
        <v>152</v>
      </c>
      <c r="M250" s="198">
        <v>5200</v>
      </c>
      <c r="N250" s="198">
        <v>17</v>
      </c>
      <c r="O250" s="198">
        <v>22</v>
      </c>
      <c r="P250">
        <v>0</v>
      </c>
      <c r="Q250">
        <v>0</v>
      </c>
      <c r="R250">
        <v>1</v>
      </c>
      <c r="S250">
        <v>0</v>
      </c>
      <c r="T250">
        <v>1</v>
      </c>
      <c r="U250">
        <v>0</v>
      </c>
      <c r="V250">
        <v>14399</v>
      </c>
      <c r="W250"/>
      <c r="X250"/>
      <c r="Y250"/>
      <c r="Z250"/>
      <c r="AA250"/>
      <c r="AB250"/>
      <c r="AC250"/>
      <c r="AD250"/>
    </row>
    <row r="251" spans="2:30" ht="20.25" customHeight="1">
      <c r="B251">
        <v>0</v>
      </c>
      <c r="C251">
        <v>100.4</v>
      </c>
      <c r="D251">
        <v>184.6</v>
      </c>
      <c r="E251">
        <v>66.5</v>
      </c>
      <c r="F251">
        <v>55.1</v>
      </c>
      <c r="G251" s="198">
        <v>3060</v>
      </c>
      <c r="H251" s="198">
        <v>181</v>
      </c>
      <c r="I251" s="198">
        <v>3.43</v>
      </c>
      <c r="J251" s="198">
        <v>3.27</v>
      </c>
      <c r="K251" s="198">
        <v>9</v>
      </c>
      <c r="L251" s="198">
        <v>152</v>
      </c>
      <c r="M251" s="198">
        <v>5200</v>
      </c>
      <c r="N251" s="198">
        <v>19</v>
      </c>
      <c r="O251" s="198">
        <v>25</v>
      </c>
      <c r="P251">
        <v>0</v>
      </c>
      <c r="Q251">
        <v>0</v>
      </c>
      <c r="R251">
        <v>1</v>
      </c>
      <c r="S251">
        <v>0</v>
      </c>
      <c r="T251">
        <v>1</v>
      </c>
      <c r="U251">
        <v>0</v>
      </c>
      <c r="V251">
        <v>13499</v>
      </c>
      <c r="W251"/>
      <c r="X251"/>
      <c r="Y251"/>
      <c r="Z251"/>
      <c r="AA251"/>
      <c r="AB251"/>
      <c r="AC251"/>
      <c r="AD251"/>
    </row>
    <row r="252" spans="2:30" ht="20.25" customHeight="1">
      <c r="B252">
        <v>3</v>
      </c>
      <c r="C252">
        <v>91.3</v>
      </c>
      <c r="D252">
        <v>170.7</v>
      </c>
      <c r="E252">
        <v>67.900000000000006</v>
      </c>
      <c r="F252">
        <v>49.7</v>
      </c>
      <c r="G252" s="198">
        <v>3071</v>
      </c>
      <c r="H252" s="198">
        <v>181</v>
      </c>
      <c r="I252" s="198">
        <v>3.43</v>
      </c>
      <c r="J252" s="198">
        <v>3.27</v>
      </c>
      <c r="K252" s="198">
        <v>9</v>
      </c>
      <c r="L252" s="198">
        <v>160</v>
      </c>
      <c r="M252" s="198">
        <v>5200</v>
      </c>
      <c r="N252" s="198">
        <v>19</v>
      </c>
      <c r="O252" s="198">
        <v>25</v>
      </c>
      <c r="P252">
        <v>0</v>
      </c>
      <c r="Q252">
        <v>0</v>
      </c>
      <c r="R252">
        <v>0</v>
      </c>
      <c r="S252">
        <v>0</v>
      </c>
      <c r="T252">
        <v>0</v>
      </c>
      <c r="U252">
        <v>0</v>
      </c>
      <c r="V252">
        <v>17199</v>
      </c>
      <c r="W252"/>
      <c r="X252"/>
      <c r="Y252"/>
      <c r="Z252"/>
      <c r="AA252"/>
      <c r="AB252"/>
      <c r="AC252"/>
      <c r="AD252"/>
    </row>
    <row r="253" spans="2:30" ht="20.25" customHeight="1">
      <c r="B253">
        <v>3</v>
      </c>
      <c r="C253">
        <v>91.3</v>
      </c>
      <c r="D253">
        <v>170.7</v>
      </c>
      <c r="E253">
        <v>67.900000000000006</v>
      </c>
      <c r="F253">
        <v>49.7</v>
      </c>
      <c r="G253" s="198">
        <v>3139</v>
      </c>
      <c r="H253" s="198">
        <v>181</v>
      </c>
      <c r="I253" s="198">
        <v>3.43</v>
      </c>
      <c r="J253" s="198">
        <v>3.27</v>
      </c>
      <c r="K253" s="198">
        <v>7.8</v>
      </c>
      <c r="L253" s="198">
        <v>200</v>
      </c>
      <c r="M253" s="198">
        <v>5200</v>
      </c>
      <c r="N253" s="198">
        <v>17</v>
      </c>
      <c r="O253" s="198">
        <v>23</v>
      </c>
      <c r="P253">
        <v>0</v>
      </c>
      <c r="Q253">
        <v>1</v>
      </c>
      <c r="R253">
        <v>0</v>
      </c>
      <c r="S253">
        <v>0</v>
      </c>
      <c r="T253">
        <v>0</v>
      </c>
      <c r="U253">
        <v>0</v>
      </c>
      <c r="V253">
        <v>19699</v>
      </c>
      <c r="W253"/>
      <c r="X253"/>
      <c r="Y253"/>
      <c r="Z253"/>
      <c r="AA253"/>
      <c r="AB253"/>
      <c r="AC253"/>
      <c r="AD253"/>
    </row>
    <row r="254" spans="2:30" ht="20.25" customHeight="1">
      <c r="B254">
        <v>1</v>
      </c>
      <c r="C254">
        <v>99.2</v>
      </c>
      <c r="D254">
        <v>178.5</v>
      </c>
      <c r="E254">
        <v>67.900000000000006</v>
      </c>
      <c r="F254">
        <v>49.7</v>
      </c>
      <c r="G254" s="198">
        <v>3139</v>
      </c>
      <c r="H254" s="198">
        <v>181</v>
      </c>
      <c r="I254" s="198">
        <v>3.43</v>
      </c>
      <c r="J254" s="198">
        <v>3.27</v>
      </c>
      <c r="K254" s="198">
        <v>9</v>
      </c>
      <c r="L254" s="198">
        <v>160</v>
      </c>
      <c r="M254" s="198">
        <v>5200</v>
      </c>
      <c r="N254" s="198">
        <v>19</v>
      </c>
      <c r="O254" s="198">
        <v>25</v>
      </c>
      <c r="P254">
        <v>0</v>
      </c>
      <c r="Q254">
        <v>0</v>
      </c>
      <c r="R254">
        <v>0</v>
      </c>
      <c r="S254">
        <v>0</v>
      </c>
      <c r="T254">
        <v>0</v>
      </c>
      <c r="U254">
        <v>0</v>
      </c>
      <c r="V254">
        <v>18399</v>
      </c>
      <c r="W254"/>
      <c r="X254"/>
      <c r="Y254"/>
      <c r="Z254"/>
      <c r="AA254"/>
      <c r="AB254"/>
      <c r="AC254"/>
      <c r="AD254"/>
    </row>
    <row r="255" spans="2:30" ht="20.25" customHeight="1">
      <c r="B255">
        <v>0</v>
      </c>
      <c r="C255">
        <v>107.9</v>
      </c>
      <c r="D255">
        <v>186.7</v>
      </c>
      <c r="E255">
        <v>68.400000000000006</v>
      </c>
      <c r="F255">
        <v>56.7</v>
      </c>
      <c r="G255" s="198">
        <v>3020</v>
      </c>
      <c r="H255" s="198">
        <v>120</v>
      </c>
      <c r="I255" s="198">
        <v>3.46</v>
      </c>
      <c r="J255" s="198">
        <v>3.19</v>
      </c>
      <c r="K255" s="198">
        <v>8.4</v>
      </c>
      <c r="L255" s="198">
        <v>97</v>
      </c>
      <c r="M255" s="198">
        <v>5000</v>
      </c>
      <c r="N255" s="198">
        <v>19</v>
      </c>
      <c r="O255" s="198">
        <v>24</v>
      </c>
      <c r="P255">
        <v>0</v>
      </c>
      <c r="Q255">
        <v>0</v>
      </c>
      <c r="R255">
        <v>1</v>
      </c>
      <c r="S255">
        <v>0</v>
      </c>
      <c r="T255">
        <v>0</v>
      </c>
      <c r="U255">
        <v>0</v>
      </c>
      <c r="V255">
        <v>11900</v>
      </c>
      <c r="W255"/>
      <c r="X255"/>
      <c r="Y255"/>
      <c r="Z255"/>
      <c r="AA255"/>
      <c r="AB255"/>
      <c r="AC255"/>
      <c r="AD255"/>
    </row>
    <row r="256" spans="2:30" ht="20.25" customHeight="1">
      <c r="B256">
        <v>0</v>
      </c>
      <c r="C256">
        <v>107.9</v>
      </c>
      <c r="D256">
        <v>186.7</v>
      </c>
      <c r="E256">
        <v>68.400000000000006</v>
      </c>
      <c r="F256">
        <v>56.7</v>
      </c>
      <c r="G256" s="198">
        <v>3197</v>
      </c>
      <c r="H256" s="198">
        <v>152</v>
      </c>
      <c r="I256" s="198">
        <v>3.7</v>
      </c>
      <c r="J256" s="198">
        <v>3.52</v>
      </c>
      <c r="K256" s="198">
        <v>21</v>
      </c>
      <c r="L256" s="198">
        <v>95</v>
      </c>
      <c r="M256" s="198">
        <v>4150</v>
      </c>
      <c r="N256" s="198">
        <v>28</v>
      </c>
      <c r="O256" s="198">
        <v>33</v>
      </c>
      <c r="P256">
        <v>1</v>
      </c>
      <c r="Q256">
        <v>1</v>
      </c>
      <c r="R256">
        <v>1</v>
      </c>
      <c r="S256">
        <v>0</v>
      </c>
      <c r="T256">
        <v>0</v>
      </c>
      <c r="U256">
        <v>0</v>
      </c>
      <c r="V256">
        <v>13200</v>
      </c>
      <c r="W256"/>
      <c r="X256"/>
      <c r="Y256"/>
      <c r="Z256"/>
      <c r="AA256"/>
      <c r="AB256"/>
      <c r="AC256"/>
      <c r="AD256"/>
    </row>
    <row r="257" spans="2:30" ht="20.25" customHeight="1">
      <c r="B257">
        <v>0</v>
      </c>
      <c r="C257">
        <v>114.2</v>
      </c>
      <c r="D257">
        <v>198.9</v>
      </c>
      <c r="E257">
        <v>68.400000000000006</v>
      </c>
      <c r="F257">
        <v>58.7</v>
      </c>
      <c r="G257" s="198">
        <v>3230</v>
      </c>
      <c r="H257" s="198">
        <v>120</v>
      </c>
      <c r="I257" s="198">
        <v>3.46</v>
      </c>
      <c r="J257" s="198">
        <v>3.19</v>
      </c>
      <c r="K257" s="198">
        <v>8.4</v>
      </c>
      <c r="L257" s="198">
        <v>97</v>
      </c>
      <c r="M257" s="198">
        <v>5000</v>
      </c>
      <c r="N257" s="198">
        <v>19</v>
      </c>
      <c r="O257" s="198">
        <v>24</v>
      </c>
      <c r="P257">
        <v>0</v>
      </c>
      <c r="Q257">
        <v>0</v>
      </c>
      <c r="R257">
        <v>1</v>
      </c>
      <c r="S257">
        <v>0</v>
      </c>
      <c r="T257">
        <v>0</v>
      </c>
      <c r="U257">
        <v>0</v>
      </c>
      <c r="V257">
        <v>12440</v>
      </c>
      <c r="W257"/>
      <c r="X257"/>
      <c r="Y257"/>
      <c r="Z257"/>
      <c r="AA257"/>
      <c r="AB257"/>
      <c r="AC257"/>
      <c r="AD257"/>
    </row>
    <row r="258" spans="2:30" ht="20.25" customHeight="1">
      <c r="B258">
        <v>0</v>
      </c>
      <c r="C258">
        <v>114.2</v>
      </c>
      <c r="D258">
        <v>198.9</v>
      </c>
      <c r="E258">
        <v>68.400000000000006</v>
      </c>
      <c r="F258">
        <v>58.7</v>
      </c>
      <c r="G258" s="198">
        <v>3430</v>
      </c>
      <c r="H258" s="198">
        <v>152</v>
      </c>
      <c r="I258" s="198">
        <v>3.7</v>
      </c>
      <c r="J258" s="198">
        <v>3.52</v>
      </c>
      <c r="K258" s="198">
        <v>21</v>
      </c>
      <c r="L258" s="198">
        <v>95</v>
      </c>
      <c r="M258" s="198">
        <v>4150</v>
      </c>
      <c r="N258" s="198">
        <v>25</v>
      </c>
      <c r="O258" s="198">
        <v>25</v>
      </c>
      <c r="P258">
        <v>1</v>
      </c>
      <c r="Q258">
        <v>1</v>
      </c>
      <c r="R258">
        <v>1</v>
      </c>
      <c r="S258">
        <v>0</v>
      </c>
      <c r="T258">
        <v>0</v>
      </c>
      <c r="U258">
        <v>0</v>
      </c>
      <c r="V258">
        <v>13860</v>
      </c>
      <c r="W258"/>
      <c r="X258"/>
      <c r="Y258"/>
      <c r="Z258"/>
      <c r="AA258"/>
      <c r="AB258"/>
      <c r="AC258"/>
      <c r="AD258"/>
    </row>
    <row r="259" spans="2:30" ht="20.25" customHeight="1">
      <c r="B259">
        <v>0</v>
      </c>
      <c r="C259">
        <v>107.9</v>
      </c>
      <c r="D259">
        <v>186.7</v>
      </c>
      <c r="E259">
        <v>68.400000000000006</v>
      </c>
      <c r="F259">
        <v>56.7</v>
      </c>
      <c r="G259" s="198">
        <v>3075</v>
      </c>
      <c r="H259" s="198">
        <v>120</v>
      </c>
      <c r="I259" s="198">
        <v>3.46</v>
      </c>
      <c r="J259" s="198">
        <v>2.19</v>
      </c>
      <c r="K259" s="198">
        <v>8.4</v>
      </c>
      <c r="L259" s="198">
        <v>95</v>
      </c>
      <c r="M259" s="198">
        <v>5000</v>
      </c>
      <c r="N259" s="198">
        <v>19</v>
      </c>
      <c r="O259" s="198">
        <v>24</v>
      </c>
      <c r="P259">
        <v>0</v>
      </c>
      <c r="Q259">
        <v>0</v>
      </c>
      <c r="R259">
        <v>1</v>
      </c>
      <c r="S259">
        <v>0</v>
      </c>
      <c r="T259">
        <v>0</v>
      </c>
      <c r="U259">
        <v>0</v>
      </c>
      <c r="V259">
        <v>15580</v>
      </c>
      <c r="W259"/>
      <c r="X259"/>
      <c r="Y259"/>
      <c r="Z259"/>
      <c r="AA259"/>
      <c r="AB259"/>
      <c r="AC259"/>
      <c r="AD259"/>
    </row>
    <row r="260" spans="2:30" ht="20.25" customHeight="1">
      <c r="B260">
        <v>0</v>
      </c>
      <c r="C260">
        <v>107.9</v>
      </c>
      <c r="D260">
        <v>186.7</v>
      </c>
      <c r="E260">
        <v>68.400000000000006</v>
      </c>
      <c r="F260">
        <v>56.7</v>
      </c>
      <c r="G260" s="198">
        <v>3252</v>
      </c>
      <c r="H260" s="198">
        <v>152</v>
      </c>
      <c r="I260" s="198">
        <v>3.7</v>
      </c>
      <c r="J260" s="198">
        <v>3.52</v>
      </c>
      <c r="K260" s="198">
        <v>21</v>
      </c>
      <c r="L260" s="198">
        <v>95</v>
      </c>
      <c r="M260" s="198">
        <v>4150</v>
      </c>
      <c r="N260" s="198">
        <v>28</v>
      </c>
      <c r="O260" s="198">
        <v>33</v>
      </c>
      <c r="P260">
        <v>1</v>
      </c>
      <c r="Q260">
        <v>1</v>
      </c>
      <c r="R260">
        <v>1</v>
      </c>
      <c r="S260">
        <v>0</v>
      </c>
      <c r="T260">
        <v>0</v>
      </c>
      <c r="U260">
        <v>0</v>
      </c>
      <c r="V260">
        <v>16900</v>
      </c>
      <c r="W260"/>
      <c r="X260"/>
      <c r="Y260"/>
      <c r="Z260"/>
      <c r="AA260"/>
      <c r="AB260"/>
      <c r="AC260"/>
      <c r="AD260"/>
    </row>
    <row r="261" spans="2:30" ht="20.25" customHeight="1">
      <c r="B261">
        <v>0</v>
      </c>
      <c r="C261">
        <v>114.2</v>
      </c>
      <c r="D261">
        <v>198.9</v>
      </c>
      <c r="E261">
        <v>68.400000000000006</v>
      </c>
      <c r="F261">
        <v>56.7</v>
      </c>
      <c r="G261" s="198">
        <v>3285</v>
      </c>
      <c r="H261" s="198">
        <v>120</v>
      </c>
      <c r="I261" s="198">
        <v>3.46</v>
      </c>
      <c r="J261" s="198">
        <v>2.19</v>
      </c>
      <c r="K261" s="198">
        <v>8.4</v>
      </c>
      <c r="L261" s="198">
        <v>95</v>
      </c>
      <c r="M261" s="198">
        <v>5000</v>
      </c>
      <c r="N261" s="198">
        <v>19</v>
      </c>
      <c r="O261" s="198">
        <v>24</v>
      </c>
      <c r="P261">
        <v>0</v>
      </c>
      <c r="Q261">
        <v>0</v>
      </c>
      <c r="R261">
        <v>1</v>
      </c>
      <c r="S261">
        <v>0</v>
      </c>
      <c r="T261">
        <v>0</v>
      </c>
      <c r="U261">
        <v>0</v>
      </c>
      <c r="V261">
        <v>16695</v>
      </c>
      <c r="W261"/>
      <c r="X261"/>
      <c r="Y261"/>
      <c r="Z261"/>
      <c r="AA261"/>
      <c r="AB261"/>
      <c r="AC261"/>
      <c r="AD261"/>
    </row>
    <row r="262" spans="2:30" ht="20.25" customHeight="1">
      <c r="B262">
        <v>0</v>
      </c>
      <c r="C262">
        <v>114.2</v>
      </c>
      <c r="D262">
        <v>198.9</v>
      </c>
      <c r="E262">
        <v>68.400000000000006</v>
      </c>
      <c r="F262">
        <v>58.7</v>
      </c>
      <c r="G262" s="198">
        <v>3485</v>
      </c>
      <c r="H262" s="198">
        <v>152</v>
      </c>
      <c r="I262" s="198">
        <v>3.7</v>
      </c>
      <c r="J262" s="198">
        <v>3.52</v>
      </c>
      <c r="K262" s="198">
        <v>21</v>
      </c>
      <c r="L262" s="198">
        <v>95</v>
      </c>
      <c r="M262" s="198">
        <v>4150</v>
      </c>
      <c r="N262" s="198">
        <v>25</v>
      </c>
      <c r="O262" s="198">
        <v>25</v>
      </c>
      <c r="P262">
        <v>1</v>
      </c>
      <c r="Q262">
        <v>1</v>
      </c>
      <c r="R262">
        <v>1</v>
      </c>
      <c r="S262">
        <v>0</v>
      </c>
      <c r="T262">
        <v>0</v>
      </c>
      <c r="U262">
        <v>0</v>
      </c>
      <c r="V262">
        <v>17075</v>
      </c>
      <c r="W262"/>
      <c r="X262"/>
      <c r="Y262"/>
      <c r="Z262"/>
      <c r="AA262"/>
      <c r="AB262"/>
      <c r="AC262"/>
      <c r="AD262"/>
    </row>
    <row r="263" spans="2:30" ht="20.25" customHeight="1">
      <c r="B263">
        <v>0</v>
      </c>
      <c r="C263">
        <v>107.9</v>
      </c>
      <c r="D263">
        <v>186.7</v>
      </c>
      <c r="E263">
        <v>68.400000000000006</v>
      </c>
      <c r="F263">
        <v>56.7</v>
      </c>
      <c r="G263" s="198">
        <v>3075</v>
      </c>
      <c r="H263" s="198">
        <v>120</v>
      </c>
      <c r="I263" s="198">
        <v>3.46</v>
      </c>
      <c r="J263" s="198">
        <v>3.19</v>
      </c>
      <c r="K263" s="198">
        <v>8.4</v>
      </c>
      <c r="L263" s="198">
        <v>97</v>
      </c>
      <c r="M263" s="198">
        <v>5000</v>
      </c>
      <c r="N263" s="198">
        <v>19</v>
      </c>
      <c r="O263" s="198">
        <v>24</v>
      </c>
      <c r="P263">
        <v>0</v>
      </c>
      <c r="Q263">
        <v>0</v>
      </c>
      <c r="R263">
        <v>1</v>
      </c>
      <c r="S263">
        <v>0</v>
      </c>
      <c r="T263">
        <v>0</v>
      </c>
      <c r="U263">
        <v>0</v>
      </c>
      <c r="V263">
        <v>16630</v>
      </c>
      <c r="W263"/>
      <c r="X263"/>
      <c r="Y263"/>
      <c r="Z263"/>
      <c r="AA263"/>
      <c r="AB263"/>
      <c r="AC263"/>
      <c r="AD263"/>
    </row>
    <row r="264" spans="2:30" ht="20.25" customHeight="1">
      <c r="B264">
        <v>0</v>
      </c>
      <c r="C264">
        <v>107.9</v>
      </c>
      <c r="D264">
        <v>186.7</v>
      </c>
      <c r="E264">
        <v>68.400000000000006</v>
      </c>
      <c r="F264">
        <v>56.7</v>
      </c>
      <c r="G264" s="198">
        <v>3252</v>
      </c>
      <c r="H264" s="198">
        <v>152</v>
      </c>
      <c r="I264" s="198">
        <v>3.7</v>
      </c>
      <c r="J264" s="198">
        <v>3.52</v>
      </c>
      <c r="K264" s="198">
        <v>21</v>
      </c>
      <c r="L264" s="198">
        <v>95</v>
      </c>
      <c r="M264" s="198">
        <v>4150</v>
      </c>
      <c r="N264" s="198">
        <v>28</v>
      </c>
      <c r="O264" s="198">
        <v>33</v>
      </c>
      <c r="P264">
        <v>1</v>
      </c>
      <c r="Q264">
        <v>1</v>
      </c>
      <c r="R264">
        <v>1</v>
      </c>
      <c r="S264">
        <v>0</v>
      </c>
      <c r="T264">
        <v>0</v>
      </c>
      <c r="U264">
        <v>0</v>
      </c>
      <c r="V264">
        <v>17950</v>
      </c>
      <c r="W264"/>
      <c r="X264"/>
      <c r="Y264"/>
      <c r="Z264"/>
      <c r="AA264"/>
      <c r="AB264"/>
      <c r="AC264"/>
      <c r="AD264"/>
    </row>
    <row r="265" spans="2:30" ht="20.25" customHeight="1">
      <c r="B265">
        <v>0</v>
      </c>
      <c r="C265">
        <v>108</v>
      </c>
      <c r="D265">
        <v>186.7</v>
      </c>
      <c r="E265">
        <v>68.3</v>
      </c>
      <c r="F265">
        <v>56</v>
      </c>
      <c r="G265" s="198">
        <v>3130</v>
      </c>
      <c r="H265" s="198">
        <v>134</v>
      </c>
      <c r="I265" s="198">
        <v>3.61</v>
      </c>
      <c r="J265" s="198">
        <v>3.21</v>
      </c>
      <c r="K265" s="198">
        <v>7</v>
      </c>
      <c r="L265" s="198">
        <v>142</v>
      </c>
      <c r="M265" s="198">
        <v>5600</v>
      </c>
      <c r="N265" s="198">
        <v>18</v>
      </c>
      <c r="O265" s="198">
        <v>24</v>
      </c>
      <c r="P265">
        <v>0</v>
      </c>
      <c r="Q265">
        <v>1</v>
      </c>
      <c r="R265">
        <v>1</v>
      </c>
      <c r="S265">
        <v>0</v>
      </c>
      <c r="T265">
        <v>0</v>
      </c>
      <c r="U265">
        <v>0</v>
      </c>
      <c r="V265">
        <v>18150</v>
      </c>
      <c r="W265"/>
      <c r="X265"/>
      <c r="Y265"/>
      <c r="Z265"/>
      <c r="AA265"/>
      <c r="AB265"/>
      <c r="AC265"/>
      <c r="AD265"/>
    </row>
    <row r="266" spans="2:30" ht="20.25" customHeight="1">
      <c r="B266">
        <v>1</v>
      </c>
      <c r="C266">
        <v>93.7</v>
      </c>
      <c r="D266">
        <v>157.30000000000001</v>
      </c>
      <c r="E266">
        <v>63.8</v>
      </c>
      <c r="F266">
        <v>50.8</v>
      </c>
      <c r="G266" s="198">
        <v>1918</v>
      </c>
      <c r="H266" s="198">
        <v>90</v>
      </c>
      <c r="I266" s="198">
        <v>2.97</v>
      </c>
      <c r="J266" s="198">
        <v>3.23</v>
      </c>
      <c r="K266" s="198">
        <v>9.4</v>
      </c>
      <c r="L266" s="198">
        <v>68</v>
      </c>
      <c r="M266" s="198">
        <v>5500</v>
      </c>
      <c r="N266" s="198">
        <v>37</v>
      </c>
      <c r="O266" s="198">
        <v>41</v>
      </c>
      <c r="P266">
        <v>0</v>
      </c>
      <c r="Q266">
        <v>0</v>
      </c>
      <c r="R266">
        <v>0</v>
      </c>
      <c r="S266">
        <v>0</v>
      </c>
      <c r="T266">
        <v>1</v>
      </c>
      <c r="U266">
        <v>0</v>
      </c>
      <c r="V266">
        <v>5572</v>
      </c>
      <c r="W266"/>
      <c r="X266"/>
      <c r="Y266"/>
      <c r="Z266"/>
      <c r="AA266"/>
      <c r="AB266"/>
      <c r="AC266"/>
      <c r="AD266"/>
    </row>
    <row r="267" spans="2:30" ht="20.25" customHeight="1">
      <c r="B267">
        <v>1</v>
      </c>
      <c r="C267">
        <v>93.7</v>
      </c>
      <c r="D267">
        <v>157.30000000000001</v>
      </c>
      <c r="E267">
        <v>63.8</v>
      </c>
      <c r="F267">
        <v>50.8</v>
      </c>
      <c r="G267" s="198">
        <v>2128</v>
      </c>
      <c r="H267" s="198">
        <v>98</v>
      </c>
      <c r="I267" s="198">
        <v>3.03</v>
      </c>
      <c r="J267" s="198">
        <v>3.39</v>
      </c>
      <c r="K267" s="198">
        <v>7.6</v>
      </c>
      <c r="L267" s="198">
        <v>102</v>
      </c>
      <c r="M267" s="198">
        <v>5500</v>
      </c>
      <c r="N267" s="198">
        <v>24</v>
      </c>
      <c r="O267" s="198">
        <v>30</v>
      </c>
      <c r="P267">
        <v>0</v>
      </c>
      <c r="Q267">
        <v>1</v>
      </c>
      <c r="R267">
        <v>0</v>
      </c>
      <c r="S267">
        <v>0</v>
      </c>
      <c r="T267">
        <v>1</v>
      </c>
      <c r="U267">
        <v>0</v>
      </c>
      <c r="V267">
        <v>7957</v>
      </c>
      <c r="W267"/>
      <c r="X267"/>
      <c r="Y267"/>
      <c r="Z267"/>
      <c r="AA267"/>
      <c r="AB267"/>
      <c r="AC267"/>
      <c r="AD267"/>
    </row>
    <row r="268" spans="2:30" ht="20.25" customHeight="1">
      <c r="B268">
        <v>1</v>
      </c>
      <c r="C268">
        <v>93.7</v>
      </c>
      <c r="D268">
        <v>157.30000000000001</v>
      </c>
      <c r="E268">
        <v>63.8</v>
      </c>
      <c r="F268">
        <v>50.6</v>
      </c>
      <c r="G268" s="198">
        <v>1967</v>
      </c>
      <c r="H268" s="198">
        <v>90</v>
      </c>
      <c r="I268" s="198">
        <v>2.97</v>
      </c>
      <c r="J268" s="198">
        <v>3.23</v>
      </c>
      <c r="K268" s="198">
        <v>9.4</v>
      </c>
      <c r="L268" s="198">
        <v>68</v>
      </c>
      <c r="M268" s="198">
        <v>5500</v>
      </c>
      <c r="N268" s="198">
        <v>31</v>
      </c>
      <c r="O268" s="198">
        <v>38</v>
      </c>
      <c r="P268">
        <v>0</v>
      </c>
      <c r="Q268">
        <v>0</v>
      </c>
      <c r="R268">
        <v>1</v>
      </c>
      <c r="S268">
        <v>0</v>
      </c>
      <c r="T268">
        <v>1</v>
      </c>
      <c r="U268">
        <v>0</v>
      </c>
      <c r="V268">
        <v>6229</v>
      </c>
      <c r="W268"/>
      <c r="X268"/>
      <c r="Y268"/>
      <c r="Z268"/>
      <c r="AA268"/>
      <c r="AB268"/>
      <c r="AC268"/>
      <c r="AD268"/>
    </row>
    <row r="269" spans="2:30" ht="20.25" customHeight="1">
      <c r="B269">
        <v>1</v>
      </c>
      <c r="C269">
        <v>93.7</v>
      </c>
      <c r="D269">
        <v>167.3</v>
      </c>
      <c r="E269">
        <v>63.8</v>
      </c>
      <c r="F269">
        <v>50.8</v>
      </c>
      <c r="G269" s="198">
        <v>1989</v>
      </c>
      <c r="H269" s="198">
        <v>90</v>
      </c>
      <c r="I269" s="198">
        <v>2.97</v>
      </c>
      <c r="J269" s="198">
        <v>3.23</v>
      </c>
      <c r="K269" s="198">
        <v>9.4</v>
      </c>
      <c r="L269" s="198">
        <v>68</v>
      </c>
      <c r="M269" s="198">
        <v>5500</v>
      </c>
      <c r="N269" s="198">
        <v>31</v>
      </c>
      <c r="O269" s="198">
        <v>38</v>
      </c>
      <c r="P269">
        <v>0</v>
      </c>
      <c r="Q269">
        <v>0</v>
      </c>
      <c r="R269">
        <v>1</v>
      </c>
      <c r="S269">
        <v>0</v>
      </c>
      <c r="T269">
        <v>1</v>
      </c>
      <c r="U269">
        <v>0</v>
      </c>
      <c r="V269">
        <v>6692</v>
      </c>
      <c r="W269"/>
      <c r="X269"/>
      <c r="Y269"/>
      <c r="Z269"/>
      <c r="AA269"/>
      <c r="AB269"/>
      <c r="AC269"/>
      <c r="AD269"/>
    </row>
    <row r="270" spans="2:30" ht="20.25" customHeight="1">
      <c r="B270">
        <v>1</v>
      </c>
      <c r="C270">
        <v>93.7</v>
      </c>
      <c r="D270">
        <v>167.3</v>
      </c>
      <c r="E270">
        <v>63.8</v>
      </c>
      <c r="F270">
        <v>50.8</v>
      </c>
      <c r="G270" s="198">
        <v>2191</v>
      </c>
      <c r="H270" s="198">
        <v>98</v>
      </c>
      <c r="I270" s="198">
        <v>2.97</v>
      </c>
      <c r="J270" s="198">
        <v>3.23</v>
      </c>
      <c r="K270" s="198">
        <v>9.4</v>
      </c>
      <c r="L270" s="198">
        <v>68</v>
      </c>
      <c r="M270" s="198">
        <v>5500</v>
      </c>
      <c r="N270" s="198">
        <v>31</v>
      </c>
      <c r="O270" s="198">
        <v>38</v>
      </c>
      <c r="P270">
        <v>0</v>
      </c>
      <c r="Q270">
        <v>0</v>
      </c>
      <c r="R270">
        <v>1</v>
      </c>
      <c r="S270">
        <v>0</v>
      </c>
      <c r="T270">
        <v>1</v>
      </c>
      <c r="U270">
        <v>0</v>
      </c>
      <c r="V270">
        <v>7609</v>
      </c>
      <c r="W270"/>
      <c r="X270"/>
      <c r="Y270"/>
      <c r="Z270"/>
      <c r="AA270"/>
      <c r="AB270"/>
      <c r="AC270"/>
      <c r="AD270"/>
    </row>
    <row r="271" spans="2:30" ht="20.25" customHeight="1">
      <c r="B271">
        <v>-1</v>
      </c>
      <c r="C271">
        <v>103.3</v>
      </c>
      <c r="D271">
        <v>174.6</v>
      </c>
      <c r="E271">
        <v>64.599999999999994</v>
      </c>
      <c r="F271">
        <v>59.8</v>
      </c>
      <c r="G271" s="198">
        <v>2535</v>
      </c>
      <c r="H271" s="198">
        <v>122</v>
      </c>
      <c r="I271" s="198">
        <v>3.35</v>
      </c>
      <c r="J271" s="198">
        <v>3.46</v>
      </c>
      <c r="K271" s="198">
        <v>8.5</v>
      </c>
      <c r="L271" s="198">
        <v>88</v>
      </c>
      <c r="M271" s="198">
        <v>5000</v>
      </c>
      <c r="N271" s="198">
        <v>24</v>
      </c>
      <c r="O271" s="198">
        <v>30</v>
      </c>
      <c r="P271">
        <v>0</v>
      </c>
      <c r="Q271">
        <v>0</v>
      </c>
      <c r="R271">
        <v>1</v>
      </c>
      <c r="S271">
        <v>0</v>
      </c>
      <c r="T271">
        <v>1</v>
      </c>
      <c r="U271">
        <v>0</v>
      </c>
      <c r="V271">
        <v>8921</v>
      </c>
      <c r="W271"/>
      <c r="X271"/>
      <c r="Y271"/>
      <c r="Z271"/>
      <c r="AA271"/>
      <c r="AB271"/>
      <c r="AC271"/>
      <c r="AD271"/>
    </row>
    <row r="272" spans="2:30" ht="20.25" customHeight="1">
      <c r="B272">
        <v>3</v>
      </c>
      <c r="C272">
        <v>95.9</v>
      </c>
      <c r="D272">
        <v>173.2</v>
      </c>
      <c r="E272">
        <v>66.3</v>
      </c>
      <c r="F272">
        <v>50.2</v>
      </c>
      <c r="G272" s="198">
        <v>2818</v>
      </c>
      <c r="H272" s="198">
        <v>156</v>
      </c>
      <c r="I272" s="198">
        <v>3.59</v>
      </c>
      <c r="J272" s="198">
        <v>3.86</v>
      </c>
      <c r="K272" s="198">
        <v>7</v>
      </c>
      <c r="L272" s="198">
        <v>145</v>
      </c>
      <c r="M272" s="198">
        <v>5000</v>
      </c>
      <c r="N272" s="198">
        <v>19</v>
      </c>
      <c r="O272" s="198">
        <v>24</v>
      </c>
      <c r="P272">
        <v>0</v>
      </c>
      <c r="Q272">
        <v>1</v>
      </c>
      <c r="R272">
        <v>0</v>
      </c>
      <c r="S272">
        <v>0</v>
      </c>
      <c r="T272">
        <v>0</v>
      </c>
      <c r="U272">
        <v>0</v>
      </c>
      <c r="V272">
        <v>12764</v>
      </c>
      <c r="W272"/>
      <c r="X272"/>
      <c r="Y272"/>
      <c r="Z272"/>
      <c r="AA272"/>
      <c r="AB272"/>
      <c r="AC272"/>
      <c r="AD272"/>
    </row>
    <row r="273" spans="2:30" ht="20.25" customHeight="1">
      <c r="B273">
        <v>3</v>
      </c>
      <c r="C273">
        <v>94.5</v>
      </c>
      <c r="D273">
        <v>168.9</v>
      </c>
      <c r="E273">
        <v>68.3</v>
      </c>
      <c r="F273">
        <v>50.2</v>
      </c>
      <c r="G273" s="198">
        <v>2778</v>
      </c>
      <c r="H273" s="198">
        <v>151</v>
      </c>
      <c r="I273" s="198">
        <v>3.94</v>
      </c>
      <c r="J273" s="198">
        <v>3.11</v>
      </c>
      <c r="K273" s="198">
        <v>9.5</v>
      </c>
      <c r="L273" s="198">
        <v>143</v>
      </c>
      <c r="M273" s="198">
        <v>5500</v>
      </c>
      <c r="N273" s="198">
        <v>19</v>
      </c>
      <c r="O273" s="198">
        <v>27</v>
      </c>
      <c r="P273">
        <v>0</v>
      </c>
      <c r="Q273">
        <v>0</v>
      </c>
      <c r="R273">
        <v>0</v>
      </c>
      <c r="S273">
        <v>0</v>
      </c>
      <c r="T273">
        <v>0</v>
      </c>
      <c r="U273">
        <v>0</v>
      </c>
      <c r="V273">
        <v>22018</v>
      </c>
      <c r="W273"/>
      <c r="X273"/>
      <c r="Y273"/>
      <c r="Z273"/>
      <c r="AA273"/>
      <c r="AB273"/>
      <c r="AC273"/>
      <c r="AD273"/>
    </row>
    <row r="274" spans="2:30" ht="20.25" customHeight="1">
      <c r="B274">
        <v>3</v>
      </c>
      <c r="C274">
        <v>89.5</v>
      </c>
      <c r="D274">
        <v>168.9</v>
      </c>
      <c r="E274">
        <v>65</v>
      </c>
      <c r="F274">
        <v>51.6</v>
      </c>
      <c r="G274" s="198">
        <v>2756</v>
      </c>
      <c r="H274" s="198">
        <v>194</v>
      </c>
      <c r="I274" s="198">
        <v>3.74</v>
      </c>
      <c r="J274" s="198">
        <v>2.9</v>
      </c>
      <c r="K274" s="198">
        <v>9.5</v>
      </c>
      <c r="L274" s="198">
        <v>207</v>
      </c>
      <c r="M274" s="198">
        <v>5900</v>
      </c>
      <c r="N274" s="198">
        <v>17</v>
      </c>
      <c r="O274" s="198">
        <v>25</v>
      </c>
      <c r="P274">
        <v>0</v>
      </c>
      <c r="Q274">
        <v>0</v>
      </c>
      <c r="R274">
        <v>0</v>
      </c>
      <c r="S274">
        <v>0</v>
      </c>
      <c r="T274">
        <v>0</v>
      </c>
      <c r="U274">
        <v>1</v>
      </c>
      <c r="V274">
        <v>32528</v>
      </c>
      <c r="W274"/>
      <c r="X274"/>
      <c r="Y274"/>
      <c r="Z274"/>
      <c r="AA274"/>
      <c r="AB274"/>
      <c r="AC274"/>
      <c r="AD274"/>
    </row>
    <row r="275" spans="2:30" ht="20.25" customHeight="1">
      <c r="B275">
        <v>3</v>
      </c>
      <c r="C275">
        <v>89.5</v>
      </c>
      <c r="D275">
        <v>168.9</v>
      </c>
      <c r="E275">
        <v>65</v>
      </c>
      <c r="F275">
        <v>51.6</v>
      </c>
      <c r="G275" s="198">
        <v>2756</v>
      </c>
      <c r="H275" s="198">
        <v>194</v>
      </c>
      <c r="I275" s="198">
        <v>3.74</v>
      </c>
      <c r="J275" s="198">
        <v>2.9</v>
      </c>
      <c r="K275" s="198">
        <v>9.5</v>
      </c>
      <c r="L275" s="198">
        <v>207</v>
      </c>
      <c r="M275" s="198">
        <v>5900</v>
      </c>
      <c r="N275" s="198">
        <v>17</v>
      </c>
      <c r="O275" s="198">
        <v>25</v>
      </c>
      <c r="P275">
        <v>0</v>
      </c>
      <c r="Q275">
        <v>0</v>
      </c>
      <c r="R275">
        <v>0</v>
      </c>
      <c r="S275">
        <v>0</v>
      </c>
      <c r="T275">
        <v>0</v>
      </c>
      <c r="U275">
        <v>1</v>
      </c>
      <c r="V275">
        <v>34028</v>
      </c>
      <c r="W275"/>
      <c r="X275"/>
      <c r="Y275"/>
      <c r="Z275"/>
      <c r="AA275"/>
      <c r="AB275"/>
      <c r="AC275"/>
      <c r="AD275"/>
    </row>
    <row r="276" spans="2:30" ht="20.25" customHeight="1">
      <c r="B276">
        <v>3</v>
      </c>
      <c r="C276">
        <v>89.5</v>
      </c>
      <c r="D276">
        <v>168.9</v>
      </c>
      <c r="E276">
        <v>65</v>
      </c>
      <c r="F276">
        <v>51.6</v>
      </c>
      <c r="G276" s="198">
        <v>2800</v>
      </c>
      <c r="H276" s="198">
        <v>194</v>
      </c>
      <c r="I276" s="198">
        <v>3.74</v>
      </c>
      <c r="J276" s="198">
        <v>2.9</v>
      </c>
      <c r="K276" s="198">
        <v>9.5</v>
      </c>
      <c r="L276" s="198">
        <v>207</v>
      </c>
      <c r="M276" s="198">
        <v>5900</v>
      </c>
      <c r="N276" s="198">
        <v>17</v>
      </c>
      <c r="O276" s="198">
        <v>25</v>
      </c>
      <c r="P276">
        <v>0</v>
      </c>
      <c r="Q276">
        <v>0</v>
      </c>
      <c r="R276">
        <v>0</v>
      </c>
      <c r="S276">
        <v>0</v>
      </c>
      <c r="T276">
        <v>0</v>
      </c>
      <c r="U276">
        <v>1</v>
      </c>
      <c r="V276">
        <v>37028</v>
      </c>
      <c r="W276"/>
      <c r="X276"/>
      <c r="Y276"/>
      <c r="Z276"/>
      <c r="AA276"/>
      <c r="AB276"/>
      <c r="AC276"/>
      <c r="AD276"/>
    </row>
    <row r="277" spans="2:30" ht="20.25" customHeight="1">
      <c r="B277">
        <v>1</v>
      </c>
      <c r="C277">
        <v>98.4</v>
      </c>
      <c r="D277">
        <v>175.7</v>
      </c>
      <c r="E277">
        <v>72.3</v>
      </c>
      <c r="F277">
        <v>50.5</v>
      </c>
      <c r="G277" s="198">
        <v>3366</v>
      </c>
      <c r="H277" s="198">
        <v>203</v>
      </c>
      <c r="I277" s="198">
        <v>3.94</v>
      </c>
      <c r="J277" s="198">
        <v>3.11</v>
      </c>
      <c r="K277" s="198">
        <v>10</v>
      </c>
      <c r="L277" s="198">
        <v>288</v>
      </c>
      <c r="M277" s="198">
        <v>5750</v>
      </c>
      <c r="N277" s="198">
        <v>17</v>
      </c>
      <c r="O277" s="198">
        <v>28</v>
      </c>
      <c r="P277">
        <v>0</v>
      </c>
      <c r="Q277">
        <v>0</v>
      </c>
      <c r="R277">
        <v>0</v>
      </c>
      <c r="S277">
        <v>0</v>
      </c>
      <c r="T277">
        <v>0</v>
      </c>
      <c r="U277">
        <v>0</v>
      </c>
      <c r="V277">
        <v>31400.5</v>
      </c>
      <c r="W277"/>
      <c r="X277"/>
      <c r="Y277"/>
      <c r="Z277"/>
      <c r="AA277"/>
      <c r="AB277"/>
      <c r="AC277"/>
      <c r="AD277"/>
    </row>
    <row r="278" spans="2:30" ht="20.25" customHeight="1">
      <c r="B278">
        <v>0</v>
      </c>
      <c r="C278">
        <v>96.1</v>
      </c>
      <c r="D278">
        <v>181.5</v>
      </c>
      <c r="E278">
        <v>66.5</v>
      </c>
      <c r="F278">
        <v>55.2</v>
      </c>
      <c r="G278" s="198">
        <v>2579</v>
      </c>
      <c r="H278" s="198">
        <v>132</v>
      </c>
      <c r="I278" s="198">
        <v>3.46</v>
      </c>
      <c r="J278" s="198">
        <v>3.9</v>
      </c>
      <c r="K278" s="198">
        <v>8.6999999999999993</v>
      </c>
      <c r="L278" s="198">
        <v>90</v>
      </c>
      <c r="M278" s="198">
        <v>5100</v>
      </c>
      <c r="N278" s="198">
        <v>23</v>
      </c>
      <c r="O278" s="198">
        <v>31</v>
      </c>
      <c r="P278">
        <v>0</v>
      </c>
      <c r="Q278">
        <v>0</v>
      </c>
      <c r="R278">
        <v>1</v>
      </c>
      <c r="S278">
        <v>0</v>
      </c>
      <c r="T278">
        <v>1</v>
      </c>
      <c r="U278">
        <v>0</v>
      </c>
      <c r="V278">
        <v>9295</v>
      </c>
      <c r="W278"/>
      <c r="X278"/>
      <c r="Y278"/>
      <c r="Z278"/>
      <c r="AA278"/>
      <c r="AB278"/>
      <c r="AC278"/>
      <c r="AD278"/>
    </row>
    <row r="279" spans="2:30" ht="20.25" customHeight="1">
      <c r="B279">
        <v>2</v>
      </c>
      <c r="C279">
        <v>96.1</v>
      </c>
      <c r="D279">
        <v>176.8</v>
      </c>
      <c r="E279">
        <v>66.599999999999994</v>
      </c>
      <c r="F279">
        <v>50.5</v>
      </c>
      <c r="G279" s="198">
        <v>2460</v>
      </c>
      <c r="H279" s="198">
        <v>132</v>
      </c>
      <c r="I279" s="198">
        <v>3.46</v>
      </c>
      <c r="J279" s="198">
        <v>3.9</v>
      </c>
      <c r="K279" s="198">
        <v>8.6999999999999993</v>
      </c>
      <c r="L279" s="198">
        <v>90</v>
      </c>
      <c r="M279" s="198">
        <v>5100</v>
      </c>
      <c r="N279" s="198">
        <v>23</v>
      </c>
      <c r="O279" s="198">
        <v>31</v>
      </c>
      <c r="P279">
        <v>0</v>
      </c>
      <c r="Q279">
        <v>0</v>
      </c>
      <c r="R279">
        <v>0</v>
      </c>
      <c r="S279">
        <v>0</v>
      </c>
      <c r="T279">
        <v>1</v>
      </c>
      <c r="U279">
        <v>0</v>
      </c>
      <c r="V279">
        <v>9895</v>
      </c>
      <c r="W279"/>
      <c r="X279"/>
      <c r="Y279"/>
      <c r="Z279"/>
      <c r="AA279"/>
      <c r="AB279"/>
      <c r="AC279"/>
      <c r="AD279"/>
    </row>
    <row r="280" spans="2:30" ht="20.25" customHeight="1">
      <c r="B280">
        <v>3</v>
      </c>
      <c r="C280">
        <v>99.1</v>
      </c>
      <c r="D280">
        <v>186.6</v>
      </c>
      <c r="E280">
        <v>66.5</v>
      </c>
      <c r="F280">
        <v>56.1</v>
      </c>
      <c r="G280" s="198">
        <v>2658</v>
      </c>
      <c r="H280" s="198">
        <v>121</v>
      </c>
      <c r="I280" s="198">
        <v>3.54</v>
      </c>
      <c r="J280" s="198">
        <v>3.07</v>
      </c>
      <c r="K280" s="198">
        <v>9.31</v>
      </c>
      <c r="L280" s="198">
        <v>110</v>
      </c>
      <c r="M280" s="198">
        <v>5250</v>
      </c>
      <c r="N280" s="198">
        <v>21</v>
      </c>
      <c r="O280" s="198">
        <v>28</v>
      </c>
      <c r="P280">
        <v>0</v>
      </c>
      <c r="Q280">
        <v>0</v>
      </c>
      <c r="R280">
        <v>0</v>
      </c>
      <c r="S280">
        <v>0</v>
      </c>
      <c r="T280">
        <v>1</v>
      </c>
      <c r="U280">
        <v>0</v>
      </c>
      <c r="V280">
        <v>11850</v>
      </c>
      <c r="W280"/>
      <c r="X280"/>
      <c r="Y280"/>
      <c r="Z280"/>
      <c r="AA280"/>
      <c r="AB280"/>
      <c r="AC280"/>
      <c r="AD280"/>
    </row>
    <row r="281" spans="2:30" ht="20.25" customHeight="1">
      <c r="B281">
        <v>2</v>
      </c>
      <c r="C281">
        <v>99.1</v>
      </c>
      <c r="D281">
        <v>186.6</v>
      </c>
      <c r="E281">
        <v>66.5</v>
      </c>
      <c r="F281">
        <v>56.1</v>
      </c>
      <c r="G281" s="198">
        <v>2695</v>
      </c>
      <c r="H281" s="198">
        <v>121</v>
      </c>
      <c r="I281" s="198">
        <v>3.54</v>
      </c>
      <c r="J281" s="198">
        <v>3.07</v>
      </c>
      <c r="K281" s="198">
        <v>9.3000000000000007</v>
      </c>
      <c r="L281" s="198">
        <v>110</v>
      </c>
      <c r="M281" s="198">
        <v>5250</v>
      </c>
      <c r="N281" s="198">
        <v>21</v>
      </c>
      <c r="O281" s="198">
        <v>28</v>
      </c>
      <c r="P281">
        <v>0</v>
      </c>
      <c r="Q281">
        <v>0</v>
      </c>
      <c r="R281">
        <v>1</v>
      </c>
      <c r="S281">
        <v>0</v>
      </c>
      <c r="T281">
        <v>1</v>
      </c>
      <c r="U281">
        <v>0</v>
      </c>
      <c r="V281">
        <v>12170</v>
      </c>
      <c r="W281"/>
      <c r="X281"/>
      <c r="Y281"/>
      <c r="Z281"/>
      <c r="AA281"/>
      <c r="AB281"/>
      <c r="AC281"/>
      <c r="AD281"/>
    </row>
    <row r="282" spans="2:30" ht="20.25" customHeight="1">
      <c r="B282">
        <v>3</v>
      </c>
      <c r="C282">
        <v>99.1</v>
      </c>
      <c r="D282">
        <v>186.6</v>
      </c>
      <c r="E282">
        <v>66.5</v>
      </c>
      <c r="F282">
        <v>56.1</v>
      </c>
      <c r="G282" s="198">
        <v>2707</v>
      </c>
      <c r="H282" s="198">
        <v>121</v>
      </c>
      <c r="I282" s="198">
        <v>2.54</v>
      </c>
      <c r="J282" s="198">
        <v>2.0699999999999998</v>
      </c>
      <c r="K282" s="198">
        <v>9.3000000000000007</v>
      </c>
      <c r="L282" s="198">
        <v>110</v>
      </c>
      <c r="M282" s="198">
        <v>5250</v>
      </c>
      <c r="N282" s="198">
        <v>21</v>
      </c>
      <c r="O282" s="198">
        <v>28</v>
      </c>
      <c r="P282">
        <v>0</v>
      </c>
      <c r="Q282">
        <v>0</v>
      </c>
      <c r="R282">
        <v>0</v>
      </c>
      <c r="S282">
        <v>0</v>
      </c>
      <c r="T282">
        <v>1</v>
      </c>
      <c r="U282">
        <v>0</v>
      </c>
      <c r="V282">
        <v>15040</v>
      </c>
      <c r="W282"/>
      <c r="X282"/>
      <c r="Y282"/>
      <c r="Z282"/>
      <c r="AA282"/>
      <c r="AB282"/>
      <c r="AC282"/>
      <c r="AD282"/>
    </row>
    <row r="283" spans="2:30" ht="20.25" customHeight="1">
      <c r="B283">
        <v>2</v>
      </c>
      <c r="C283">
        <v>99.1</v>
      </c>
      <c r="D283">
        <v>186.6</v>
      </c>
      <c r="E283">
        <v>66.5</v>
      </c>
      <c r="F283">
        <v>56.1</v>
      </c>
      <c r="G283" s="198">
        <v>2758</v>
      </c>
      <c r="H283" s="198">
        <v>121</v>
      </c>
      <c r="I283" s="198">
        <v>3.54</v>
      </c>
      <c r="J283" s="198">
        <v>3.07</v>
      </c>
      <c r="K283" s="198">
        <v>9.3000000000000007</v>
      </c>
      <c r="L283" s="198">
        <v>110</v>
      </c>
      <c r="M283" s="198">
        <v>5250</v>
      </c>
      <c r="N283" s="198">
        <v>21</v>
      </c>
      <c r="O283" s="198">
        <v>28</v>
      </c>
      <c r="P283">
        <v>0</v>
      </c>
      <c r="Q283">
        <v>0</v>
      </c>
      <c r="R283">
        <v>1</v>
      </c>
      <c r="S283">
        <v>0</v>
      </c>
      <c r="T283">
        <v>1</v>
      </c>
      <c r="U283">
        <v>0</v>
      </c>
      <c r="V283">
        <v>15510</v>
      </c>
      <c r="W283"/>
      <c r="X283"/>
      <c r="Y283"/>
      <c r="Z283"/>
      <c r="AA283"/>
      <c r="AB283"/>
      <c r="AC283"/>
      <c r="AD283"/>
    </row>
    <row r="284" spans="2:30" ht="20.25" customHeight="1">
      <c r="B284">
        <v>3</v>
      </c>
      <c r="C284">
        <v>99.1</v>
      </c>
      <c r="D284">
        <v>186.6</v>
      </c>
      <c r="E284">
        <v>66.5</v>
      </c>
      <c r="F284">
        <v>56.1</v>
      </c>
      <c r="G284" s="198">
        <v>2808</v>
      </c>
      <c r="H284" s="198">
        <v>121</v>
      </c>
      <c r="I284" s="198">
        <v>3.54</v>
      </c>
      <c r="J284" s="198">
        <v>3.07</v>
      </c>
      <c r="K284" s="198">
        <v>9</v>
      </c>
      <c r="L284" s="198">
        <v>160</v>
      </c>
      <c r="M284" s="198">
        <v>5500</v>
      </c>
      <c r="N284" s="198">
        <v>19</v>
      </c>
      <c r="O284" s="198">
        <v>26</v>
      </c>
      <c r="P284">
        <v>0</v>
      </c>
      <c r="Q284">
        <v>1</v>
      </c>
      <c r="R284">
        <v>0</v>
      </c>
      <c r="S284">
        <v>0</v>
      </c>
      <c r="T284">
        <v>1</v>
      </c>
      <c r="U284">
        <v>0</v>
      </c>
      <c r="V284">
        <v>18150</v>
      </c>
      <c r="W284"/>
      <c r="X284"/>
      <c r="Y284"/>
      <c r="Z284"/>
      <c r="AA284"/>
      <c r="AB284"/>
      <c r="AC284"/>
      <c r="AD284"/>
    </row>
    <row r="285" spans="2:30" ht="20.25" customHeight="1">
      <c r="B285">
        <v>2</v>
      </c>
      <c r="C285">
        <v>99.1</v>
      </c>
      <c r="D285">
        <v>186.6</v>
      </c>
      <c r="E285">
        <v>66.5</v>
      </c>
      <c r="F285">
        <v>56.1</v>
      </c>
      <c r="G285" s="198">
        <v>2847</v>
      </c>
      <c r="H285" s="198">
        <v>121</v>
      </c>
      <c r="I285" s="198">
        <v>3.54</v>
      </c>
      <c r="J285" s="198">
        <v>3.07</v>
      </c>
      <c r="K285" s="198">
        <v>9</v>
      </c>
      <c r="L285" s="198">
        <v>160</v>
      </c>
      <c r="M285" s="198">
        <v>5500</v>
      </c>
      <c r="N285" s="198">
        <v>19</v>
      </c>
      <c r="O285" s="198">
        <v>26</v>
      </c>
      <c r="P285">
        <v>0</v>
      </c>
      <c r="Q285">
        <v>1</v>
      </c>
      <c r="R285">
        <v>1</v>
      </c>
      <c r="S285">
        <v>0</v>
      </c>
      <c r="T285">
        <v>1</v>
      </c>
      <c r="U285">
        <v>0</v>
      </c>
      <c r="V285">
        <v>18620</v>
      </c>
      <c r="W285"/>
      <c r="X285"/>
      <c r="Y285"/>
      <c r="Z285"/>
      <c r="AA285"/>
      <c r="AB285"/>
      <c r="AC285"/>
      <c r="AD285"/>
    </row>
    <row r="286" spans="2:30" ht="20.25" customHeight="1">
      <c r="B286">
        <v>2</v>
      </c>
      <c r="C286">
        <v>93.7</v>
      </c>
      <c r="D286">
        <v>156.9</v>
      </c>
      <c r="E286">
        <v>63.4</v>
      </c>
      <c r="F286">
        <v>53.7</v>
      </c>
      <c r="G286" s="198">
        <v>2050</v>
      </c>
      <c r="H286" s="198">
        <v>97</v>
      </c>
      <c r="I286" s="198">
        <v>3.62</v>
      </c>
      <c r="J286" s="198">
        <v>2.36</v>
      </c>
      <c r="K286" s="198">
        <v>9</v>
      </c>
      <c r="L286" s="198">
        <v>69</v>
      </c>
      <c r="M286" s="198">
        <v>4900</v>
      </c>
      <c r="N286" s="198">
        <v>31</v>
      </c>
      <c r="O286" s="198">
        <v>36</v>
      </c>
      <c r="P286">
        <v>0</v>
      </c>
      <c r="Q286">
        <v>0</v>
      </c>
      <c r="R286">
        <v>0</v>
      </c>
      <c r="S286">
        <v>0</v>
      </c>
      <c r="T286">
        <v>1</v>
      </c>
      <c r="U286">
        <v>0</v>
      </c>
      <c r="V286">
        <v>5118</v>
      </c>
      <c r="W286"/>
      <c r="X286"/>
      <c r="Y286"/>
      <c r="Z286"/>
      <c r="AA286"/>
      <c r="AB286"/>
      <c r="AC286"/>
      <c r="AD286"/>
    </row>
    <row r="287" spans="2:30" ht="20.25" customHeight="1">
      <c r="B287">
        <v>2</v>
      </c>
      <c r="C287">
        <v>93.7</v>
      </c>
      <c r="D287">
        <v>157.9</v>
      </c>
      <c r="E287">
        <v>63.6</v>
      </c>
      <c r="F287">
        <v>53.7</v>
      </c>
      <c r="G287" s="198">
        <v>2120</v>
      </c>
      <c r="H287" s="198">
        <v>108</v>
      </c>
      <c r="I287" s="198">
        <v>3.62</v>
      </c>
      <c r="J287" s="198">
        <v>2.64</v>
      </c>
      <c r="K287" s="198">
        <v>8.6999999999999993</v>
      </c>
      <c r="L287" s="198">
        <v>73</v>
      </c>
      <c r="M287" s="198">
        <v>4400</v>
      </c>
      <c r="N287" s="198">
        <v>26</v>
      </c>
      <c r="O287" s="198">
        <v>31</v>
      </c>
      <c r="P287">
        <v>0</v>
      </c>
      <c r="Q287">
        <v>0</v>
      </c>
      <c r="R287">
        <v>0</v>
      </c>
      <c r="S287">
        <v>0</v>
      </c>
      <c r="T287">
        <v>1</v>
      </c>
      <c r="U287">
        <v>0</v>
      </c>
      <c r="V287">
        <v>7053</v>
      </c>
      <c r="W287"/>
      <c r="X287"/>
      <c r="Y287"/>
      <c r="Z287"/>
      <c r="AA287"/>
      <c r="AB287"/>
      <c r="AC287"/>
      <c r="AD287"/>
    </row>
    <row r="288" spans="2:30" ht="20.25" customHeight="1">
      <c r="B288">
        <v>2</v>
      </c>
      <c r="C288">
        <v>93.3</v>
      </c>
      <c r="D288">
        <v>157.30000000000001</v>
      </c>
      <c r="E288">
        <v>63.8</v>
      </c>
      <c r="F288">
        <v>55.7</v>
      </c>
      <c r="G288" s="198">
        <v>2240</v>
      </c>
      <c r="H288" s="198">
        <v>108</v>
      </c>
      <c r="I288" s="198">
        <v>3.62</v>
      </c>
      <c r="J288" s="198">
        <v>2.64</v>
      </c>
      <c r="K288" s="198">
        <v>8.6999999999999993</v>
      </c>
      <c r="L288" s="198">
        <v>73</v>
      </c>
      <c r="M288" s="198">
        <v>4400</v>
      </c>
      <c r="N288" s="198">
        <v>26</v>
      </c>
      <c r="O288" s="198">
        <v>31</v>
      </c>
      <c r="P288">
        <v>0</v>
      </c>
      <c r="Q288">
        <v>0</v>
      </c>
      <c r="R288">
        <v>0</v>
      </c>
      <c r="S288">
        <v>1</v>
      </c>
      <c r="T288">
        <v>0</v>
      </c>
      <c r="U288">
        <v>0</v>
      </c>
      <c r="V288">
        <v>7603</v>
      </c>
      <c r="W288"/>
      <c r="X288"/>
      <c r="Y288"/>
      <c r="Z288"/>
      <c r="AA288"/>
      <c r="AB288"/>
      <c r="AC288"/>
      <c r="AD288"/>
    </row>
    <row r="289" spans="2:30" ht="20.25" customHeight="1">
      <c r="B289">
        <v>0</v>
      </c>
      <c r="C289">
        <v>97.2</v>
      </c>
      <c r="D289">
        <v>172</v>
      </c>
      <c r="E289">
        <v>65.400000000000006</v>
      </c>
      <c r="F289">
        <v>52.5</v>
      </c>
      <c r="G289" s="198">
        <v>2145</v>
      </c>
      <c r="H289" s="198">
        <v>108</v>
      </c>
      <c r="I289" s="198">
        <v>3.62</v>
      </c>
      <c r="J289" s="198">
        <v>2.64</v>
      </c>
      <c r="K289" s="198">
        <v>9.5</v>
      </c>
      <c r="L289" s="198">
        <v>82</v>
      </c>
      <c r="M289" s="198">
        <v>4800</v>
      </c>
      <c r="N289" s="198">
        <v>32</v>
      </c>
      <c r="O289" s="198">
        <v>37</v>
      </c>
      <c r="P289">
        <v>0</v>
      </c>
      <c r="Q289">
        <v>0</v>
      </c>
      <c r="R289">
        <v>1</v>
      </c>
      <c r="S289">
        <v>0</v>
      </c>
      <c r="T289">
        <v>1</v>
      </c>
      <c r="U289">
        <v>0</v>
      </c>
      <c r="V289">
        <v>7126</v>
      </c>
      <c r="W289"/>
      <c r="X289"/>
      <c r="Y289"/>
      <c r="Z289"/>
      <c r="AA289"/>
      <c r="AB289"/>
      <c r="AC289"/>
      <c r="AD289"/>
    </row>
    <row r="290" spans="2:30" ht="20.25" customHeight="1">
      <c r="B290">
        <v>0</v>
      </c>
      <c r="C290">
        <v>97.2</v>
      </c>
      <c r="D290">
        <v>172</v>
      </c>
      <c r="E290">
        <v>65.400000000000006</v>
      </c>
      <c r="F290">
        <v>52.5</v>
      </c>
      <c r="G290" s="198">
        <v>2190</v>
      </c>
      <c r="H290" s="198">
        <v>108</v>
      </c>
      <c r="I290" s="198">
        <v>3.62</v>
      </c>
      <c r="J290" s="198">
        <v>2.64</v>
      </c>
      <c r="K290" s="198">
        <v>9.5</v>
      </c>
      <c r="L290" s="198">
        <v>82</v>
      </c>
      <c r="M290" s="198">
        <v>4400</v>
      </c>
      <c r="N290" s="198">
        <v>28</v>
      </c>
      <c r="O290" s="198">
        <v>33</v>
      </c>
      <c r="P290">
        <v>0</v>
      </c>
      <c r="Q290">
        <v>0</v>
      </c>
      <c r="R290">
        <v>1</v>
      </c>
      <c r="S290">
        <v>0</v>
      </c>
      <c r="T290">
        <v>1</v>
      </c>
      <c r="U290">
        <v>0</v>
      </c>
      <c r="V290">
        <v>7775</v>
      </c>
      <c r="W290"/>
      <c r="X290"/>
      <c r="Y290"/>
      <c r="Z290"/>
      <c r="AA290"/>
      <c r="AB290"/>
      <c r="AC290"/>
      <c r="AD290"/>
    </row>
    <row r="291" spans="2:30" ht="20.25" customHeight="1">
      <c r="B291">
        <v>0</v>
      </c>
      <c r="C291">
        <v>97.2</v>
      </c>
      <c r="D291">
        <v>172</v>
      </c>
      <c r="E291">
        <v>65.400000000000006</v>
      </c>
      <c r="F291">
        <v>52.5</v>
      </c>
      <c r="G291" s="198">
        <v>2340</v>
      </c>
      <c r="H291" s="198">
        <v>108</v>
      </c>
      <c r="I291" s="198">
        <v>3.62</v>
      </c>
      <c r="J291" s="198">
        <v>2.64</v>
      </c>
      <c r="K291" s="198">
        <v>9</v>
      </c>
      <c r="L291" s="198">
        <v>94</v>
      </c>
      <c r="M291" s="198">
        <v>5200</v>
      </c>
      <c r="N291" s="198">
        <v>26</v>
      </c>
      <c r="O291" s="198">
        <v>32</v>
      </c>
      <c r="P291">
        <v>0</v>
      </c>
      <c r="Q291">
        <v>0</v>
      </c>
      <c r="R291">
        <v>1</v>
      </c>
      <c r="S291">
        <v>0</v>
      </c>
      <c r="T291">
        <v>1</v>
      </c>
      <c r="U291">
        <v>0</v>
      </c>
      <c r="V291">
        <v>9960</v>
      </c>
      <c r="W291"/>
      <c r="X291"/>
      <c r="Y291"/>
      <c r="Z291"/>
      <c r="AA291"/>
      <c r="AB291"/>
      <c r="AC291"/>
      <c r="AD291"/>
    </row>
    <row r="292" spans="2:30" ht="20.25" customHeight="1">
      <c r="B292">
        <v>0</v>
      </c>
      <c r="C292">
        <v>97</v>
      </c>
      <c r="D292">
        <v>172</v>
      </c>
      <c r="E292">
        <v>65.400000000000006</v>
      </c>
      <c r="F292">
        <v>54.3</v>
      </c>
      <c r="G292" s="198">
        <v>2385</v>
      </c>
      <c r="H292" s="198">
        <v>108</v>
      </c>
      <c r="I292" s="198">
        <v>3.62</v>
      </c>
      <c r="J292" s="198">
        <v>2.64</v>
      </c>
      <c r="K292" s="198">
        <v>9</v>
      </c>
      <c r="L292" s="198">
        <v>82</v>
      </c>
      <c r="M292" s="198">
        <v>4800</v>
      </c>
      <c r="N292" s="198">
        <v>24</v>
      </c>
      <c r="O292" s="198">
        <v>25</v>
      </c>
      <c r="P292">
        <v>0</v>
      </c>
      <c r="Q292">
        <v>0</v>
      </c>
      <c r="R292">
        <v>1</v>
      </c>
      <c r="S292">
        <v>1</v>
      </c>
      <c r="T292">
        <v>0</v>
      </c>
      <c r="U292">
        <v>0</v>
      </c>
      <c r="V292">
        <v>9233</v>
      </c>
      <c r="W292"/>
      <c r="X292"/>
      <c r="Y292"/>
      <c r="Z292"/>
      <c r="AA292"/>
      <c r="AB292"/>
      <c r="AC292"/>
      <c r="AD292"/>
    </row>
    <row r="293" spans="2:30" ht="20.25" customHeight="1">
      <c r="B293">
        <v>0</v>
      </c>
      <c r="C293">
        <v>97</v>
      </c>
      <c r="D293">
        <v>172</v>
      </c>
      <c r="E293">
        <v>65.400000000000006</v>
      </c>
      <c r="F293">
        <v>54.3</v>
      </c>
      <c r="G293" s="198">
        <v>2510</v>
      </c>
      <c r="H293" s="198">
        <v>108</v>
      </c>
      <c r="I293" s="198">
        <v>3.62</v>
      </c>
      <c r="J293" s="198">
        <v>2.64</v>
      </c>
      <c r="K293" s="198">
        <v>7.7</v>
      </c>
      <c r="L293" s="198">
        <v>111</v>
      </c>
      <c r="M293" s="198">
        <v>4800</v>
      </c>
      <c r="N293" s="198">
        <v>24</v>
      </c>
      <c r="O293" s="198">
        <v>29</v>
      </c>
      <c r="P293">
        <v>0</v>
      </c>
      <c r="Q293">
        <v>1</v>
      </c>
      <c r="R293">
        <v>1</v>
      </c>
      <c r="S293">
        <v>1</v>
      </c>
      <c r="T293">
        <v>0</v>
      </c>
      <c r="U293">
        <v>0</v>
      </c>
      <c r="V293">
        <v>11259</v>
      </c>
      <c r="W293"/>
      <c r="X293"/>
      <c r="Y293"/>
      <c r="Z293"/>
      <c r="AA293"/>
      <c r="AB293"/>
      <c r="AC293"/>
      <c r="AD293"/>
    </row>
    <row r="294" spans="2:30" ht="20.25" customHeight="1">
      <c r="B294">
        <v>0</v>
      </c>
      <c r="C294">
        <v>97</v>
      </c>
      <c r="D294">
        <v>173.5</v>
      </c>
      <c r="E294">
        <v>65.400000000000006</v>
      </c>
      <c r="F294">
        <v>53</v>
      </c>
      <c r="G294" s="198">
        <v>2290</v>
      </c>
      <c r="H294" s="198">
        <v>108</v>
      </c>
      <c r="I294" s="198">
        <v>3.62</v>
      </c>
      <c r="J294" s="198">
        <v>2.64</v>
      </c>
      <c r="K294" s="198">
        <v>9</v>
      </c>
      <c r="L294" s="198">
        <v>82</v>
      </c>
      <c r="M294" s="198">
        <v>4800</v>
      </c>
      <c r="N294" s="198">
        <v>28</v>
      </c>
      <c r="O294" s="198">
        <v>32</v>
      </c>
      <c r="P294">
        <v>0</v>
      </c>
      <c r="Q294">
        <v>0</v>
      </c>
      <c r="R294">
        <v>1</v>
      </c>
      <c r="S294">
        <v>0</v>
      </c>
      <c r="T294">
        <v>1</v>
      </c>
      <c r="U294">
        <v>0</v>
      </c>
      <c r="V294">
        <v>7463</v>
      </c>
      <c r="W294"/>
      <c r="X294"/>
      <c r="Y294"/>
      <c r="Z294"/>
      <c r="AA294"/>
      <c r="AB294"/>
      <c r="AC294"/>
      <c r="AD294"/>
    </row>
    <row r="295" spans="2:30" ht="20.25" customHeight="1">
      <c r="B295">
        <v>0</v>
      </c>
      <c r="C295">
        <v>97</v>
      </c>
      <c r="D295">
        <v>173.5</v>
      </c>
      <c r="E295">
        <v>65.400000000000006</v>
      </c>
      <c r="F295">
        <v>53</v>
      </c>
      <c r="G295" s="198">
        <v>2455</v>
      </c>
      <c r="H295" s="198">
        <v>108</v>
      </c>
      <c r="I295" s="198">
        <v>3.62</v>
      </c>
      <c r="J295" s="198">
        <v>2.64</v>
      </c>
      <c r="K295" s="198">
        <v>9</v>
      </c>
      <c r="L295" s="198">
        <v>94</v>
      </c>
      <c r="M295" s="198">
        <v>5200</v>
      </c>
      <c r="N295" s="198">
        <v>25</v>
      </c>
      <c r="O295" s="198">
        <v>31</v>
      </c>
      <c r="P295">
        <v>0</v>
      </c>
      <c r="Q295">
        <v>0</v>
      </c>
      <c r="R295">
        <v>1</v>
      </c>
      <c r="S295">
        <v>0</v>
      </c>
      <c r="T295">
        <v>1</v>
      </c>
      <c r="U295">
        <v>0</v>
      </c>
      <c r="V295">
        <v>10198</v>
      </c>
      <c r="W295"/>
      <c r="X295"/>
      <c r="Y295"/>
      <c r="Z295"/>
      <c r="AA295"/>
      <c r="AB295"/>
      <c r="AC295"/>
      <c r="AD295"/>
    </row>
    <row r="296" spans="2:30" ht="20.25" customHeight="1">
      <c r="B296">
        <v>0</v>
      </c>
      <c r="C296">
        <v>96.9</v>
      </c>
      <c r="D296">
        <v>173.6</v>
      </c>
      <c r="E296">
        <v>65.400000000000006</v>
      </c>
      <c r="F296">
        <v>54.9</v>
      </c>
      <c r="G296" s="198">
        <v>2420</v>
      </c>
      <c r="H296" s="198">
        <v>108</v>
      </c>
      <c r="I296" s="198">
        <v>3.62</v>
      </c>
      <c r="J296" s="198">
        <v>2.64</v>
      </c>
      <c r="K296" s="198">
        <v>9</v>
      </c>
      <c r="L296" s="198">
        <v>82</v>
      </c>
      <c r="M296" s="198">
        <v>4800</v>
      </c>
      <c r="N296" s="198">
        <v>23</v>
      </c>
      <c r="O296" s="198">
        <v>29</v>
      </c>
      <c r="P296">
        <v>0</v>
      </c>
      <c r="Q296">
        <v>0</v>
      </c>
      <c r="R296">
        <v>1</v>
      </c>
      <c r="S296">
        <v>1</v>
      </c>
      <c r="T296">
        <v>0</v>
      </c>
      <c r="U296">
        <v>0</v>
      </c>
      <c r="V296">
        <v>8013</v>
      </c>
      <c r="W296"/>
      <c r="X296"/>
      <c r="Y296"/>
      <c r="Z296"/>
      <c r="AA296"/>
      <c r="AB296"/>
      <c r="AC296"/>
      <c r="AD296"/>
    </row>
    <row r="297" spans="2:30" ht="20.25" customHeight="1">
      <c r="B297">
        <v>0</v>
      </c>
      <c r="C297">
        <v>96.9</v>
      </c>
      <c r="D297">
        <v>173.6</v>
      </c>
      <c r="E297">
        <v>65.400000000000006</v>
      </c>
      <c r="F297">
        <v>54.9</v>
      </c>
      <c r="G297" s="198">
        <v>2650</v>
      </c>
      <c r="H297" s="198">
        <v>108</v>
      </c>
      <c r="I297" s="198">
        <v>3.62</v>
      </c>
      <c r="J297" s="198">
        <v>2.64</v>
      </c>
      <c r="K297" s="198">
        <v>7.7</v>
      </c>
      <c r="L297" s="198">
        <v>111</v>
      </c>
      <c r="M297" s="198">
        <v>4800</v>
      </c>
      <c r="N297" s="198">
        <v>23</v>
      </c>
      <c r="O297" s="198">
        <v>23</v>
      </c>
      <c r="P297">
        <v>0</v>
      </c>
      <c r="Q297">
        <v>1</v>
      </c>
      <c r="R297">
        <v>1</v>
      </c>
      <c r="S297">
        <v>1</v>
      </c>
      <c r="T297">
        <v>0</v>
      </c>
      <c r="U297">
        <v>0</v>
      </c>
      <c r="V297">
        <v>11694</v>
      </c>
      <c r="W297"/>
      <c r="X297"/>
      <c r="Y297"/>
      <c r="Z297"/>
      <c r="AA297"/>
      <c r="AB297"/>
      <c r="AC297"/>
      <c r="AD297"/>
    </row>
    <row r="298" spans="2:30" ht="20.25" customHeight="1">
      <c r="B298">
        <v>1</v>
      </c>
      <c r="C298">
        <v>95.7</v>
      </c>
      <c r="D298">
        <v>158.69999999999999</v>
      </c>
      <c r="E298">
        <v>63.6</v>
      </c>
      <c r="F298">
        <v>54.5</v>
      </c>
      <c r="G298" s="198">
        <v>1985</v>
      </c>
      <c r="H298" s="198">
        <v>92</v>
      </c>
      <c r="I298" s="198">
        <v>3.05</v>
      </c>
      <c r="J298" s="198">
        <v>3.03</v>
      </c>
      <c r="K298" s="198">
        <v>9</v>
      </c>
      <c r="L298" s="198">
        <v>62</v>
      </c>
      <c r="M298" s="198">
        <v>4800</v>
      </c>
      <c r="N298" s="198">
        <v>35</v>
      </c>
      <c r="O298" s="198">
        <v>39</v>
      </c>
      <c r="P298">
        <v>0</v>
      </c>
      <c r="Q298">
        <v>0</v>
      </c>
      <c r="R298">
        <v>0</v>
      </c>
      <c r="S298">
        <v>0</v>
      </c>
      <c r="T298">
        <v>1</v>
      </c>
      <c r="U298">
        <v>0</v>
      </c>
      <c r="V298">
        <v>5348</v>
      </c>
      <c r="W298"/>
      <c r="X298"/>
      <c r="Y298"/>
      <c r="Z298"/>
      <c r="AA298"/>
      <c r="AB298"/>
      <c r="AC298"/>
      <c r="AD298"/>
    </row>
    <row r="299" spans="2:30" ht="20.25" customHeight="1">
      <c r="B299">
        <v>1</v>
      </c>
      <c r="C299">
        <v>95.7</v>
      </c>
      <c r="D299">
        <v>158.69999999999999</v>
      </c>
      <c r="E299">
        <v>63.6</v>
      </c>
      <c r="F299">
        <v>54.5</v>
      </c>
      <c r="G299" s="198">
        <v>2040</v>
      </c>
      <c r="H299" s="198">
        <v>92</v>
      </c>
      <c r="I299" s="198">
        <v>3.05</v>
      </c>
      <c r="J299" s="198">
        <v>3.03</v>
      </c>
      <c r="K299" s="198">
        <v>9</v>
      </c>
      <c r="L299" s="198">
        <v>62</v>
      </c>
      <c r="M299" s="198">
        <v>4800</v>
      </c>
      <c r="N299" s="198">
        <v>31</v>
      </c>
      <c r="O299" s="198">
        <v>38</v>
      </c>
      <c r="P299">
        <v>0</v>
      </c>
      <c r="Q299">
        <v>0</v>
      </c>
      <c r="R299">
        <v>0</v>
      </c>
      <c r="S299">
        <v>0</v>
      </c>
      <c r="T299">
        <v>1</v>
      </c>
      <c r="U299">
        <v>0</v>
      </c>
      <c r="V299">
        <v>6338</v>
      </c>
      <c r="W299"/>
      <c r="X299"/>
      <c r="Y299"/>
      <c r="Z299"/>
      <c r="AA299"/>
      <c r="AB299"/>
      <c r="AC299"/>
      <c r="AD299"/>
    </row>
    <row r="300" spans="2:30" ht="20.25" customHeight="1">
      <c r="B300">
        <v>1</v>
      </c>
      <c r="C300">
        <v>95.7</v>
      </c>
      <c r="D300">
        <v>158.69999999999999</v>
      </c>
      <c r="E300">
        <v>63.6</v>
      </c>
      <c r="F300">
        <v>54.5</v>
      </c>
      <c r="G300" s="198">
        <v>2015</v>
      </c>
      <c r="H300" s="198">
        <v>92</v>
      </c>
      <c r="I300" s="198">
        <v>3.05</v>
      </c>
      <c r="J300" s="198">
        <v>3.03</v>
      </c>
      <c r="K300" s="198">
        <v>9</v>
      </c>
      <c r="L300" s="198">
        <v>62</v>
      </c>
      <c r="M300" s="198">
        <v>4800</v>
      </c>
      <c r="N300" s="198">
        <v>31</v>
      </c>
      <c r="O300" s="198">
        <v>38</v>
      </c>
      <c r="P300">
        <v>0</v>
      </c>
      <c r="Q300">
        <v>0</v>
      </c>
      <c r="R300">
        <v>1</v>
      </c>
      <c r="S300">
        <v>0</v>
      </c>
      <c r="T300">
        <v>1</v>
      </c>
      <c r="U300">
        <v>0</v>
      </c>
      <c r="V300">
        <v>6488</v>
      </c>
      <c r="W300"/>
      <c r="X300"/>
      <c r="Y300"/>
      <c r="Z300"/>
      <c r="AA300"/>
      <c r="AB300"/>
      <c r="AC300"/>
      <c r="AD300"/>
    </row>
    <row r="301" spans="2:30" ht="20.25" customHeight="1">
      <c r="B301">
        <v>0</v>
      </c>
      <c r="C301">
        <v>95.7</v>
      </c>
      <c r="D301">
        <v>169.7</v>
      </c>
      <c r="E301">
        <v>63.6</v>
      </c>
      <c r="F301">
        <v>59.1</v>
      </c>
      <c r="G301" s="198">
        <v>2280</v>
      </c>
      <c r="H301" s="198">
        <v>92</v>
      </c>
      <c r="I301" s="198">
        <v>3.05</v>
      </c>
      <c r="J301" s="198">
        <v>3.03</v>
      </c>
      <c r="K301" s="198">
        <v>9</v>
      </c>
      <c r="L301" s="198">
        <v>62</v>
      </c>
      <c r="M301" s="198">
        <v>4800</v>
      </c>
      <c r="N301" s="198">
        <v>31</v>
      </c>
      <c r="O301" s="198">
        <v>37</v>
      </c>
      <c r="P301">
        <v>0</v>
      </c>
      <c r="Q301">
        <v>0</v>
      </c>
      <c r="R301">
        <v>1</v>
      </c>
      <c r="S301">
        <v>0</v>
      </c>
      <c r="T301">
        <v>1</v>
      </c>
      <c r="U301">
        <v>0</v>
      </c>
      <c r="V301">
        <v>6918</v>
      </c>
      <c r="W301"/>
      <c r="X301"/>
      <c r="Y301"/>
      <c r="Z301"/>
      <c r="AA301"/>
      <c r="AB301"/>
      <c r="AC301"/>
      <c r="AD301"/>
    </row>
    <row r="302" spans="2:30" ht="20.25" customHeight="1">
      <c r="B302">
        <v>0</v>
      </c>
      <c r="C302">
        <v>95.7</v>
      </c>
      <c r="D302">
        <v>169.7</v>
      </c>
      <c r="E302">
        <v>63.6</v>
      </c>
      <c r="F302">
        <v>59.1</v>
      </c>
      <c r="G302" s="198">
        <v>2290</v>
      </c>
      <c r="H302" s="198">
        <v>92</v>
      </c>
      <c r="I302" s="198">
        <v>3.05</v>
      </c>
      <c r="J302" s="198">
        <v>3.03</v>
      </c>
      <c r="K302" s="198">
        <v>9</v>
      </c>
      <c r="L302" s="198">
        <v>62</v>
      </c>
      <c r="M302" s="198">
        <v>4800</v>
      </c>
      <c r="N302" s="198">
        <v>27</v>
      </c>
      <c r="O302" s="198">
        <v>32</v>
      </c>
      <c r="P302">
        <v>0</v>
      </c>
      <c r="Q302">
        <v>0</v>
      </c>
      <c r="R302">
        <v>1</v>
      </c>
      <c r="S302">
        <v>1</v>
      </c>
      <c r="T302">
        <v>0</v>
      </c>
      <c r="U302">
        <v>0</v>
      </c>
      <c r="V302">
        <v>7898</v>
      </c>
      <c r="W302"/>
      <c r="X302"/>
      <c r="Y302"/>
      <c r="Z302"/>
      <c r="AA302"/>
      <c r="AB302"/>
      <c r="AC302"/>
      <c r="AD302"/>
    </row>
    <row r="303" spans="2:30" ht="20.25" customHeight="1">
      <c r="B303">
        <v>0</v>
      </c>
      <c r="C303">
        <v>95.7</v>
      </c>
      <c r="D303">
        <v>169.7</v>
      </c>
      <c r="E303">
        <v>63.6</v>
      </c>
      <c r="F303">
        <v>59.1</v>
      </c>
      <c r="G303" s="198">
        <v>3110</v>
      </c>
      <c r="H303" s="198">
        <v>92</v>
      </c>
      <c r="I303" s="198">
        <v>3.05</v>
      </c>
      <c r="J303" s="198">
        <v>3.03</v>
      </c>
      <c r="K303" s="198">
        <v>9</v>
      </c>
      <c r="L303" s="198">
        <v>62</v>
      </c>
      <c r="M303" s="198">
        <v>4800</v>
      </c>
      <c r="N303" s="198">
        <v>27</v>
      </c>
      <c r="O303" s="198">
        <v>32</v>
      </c>
      <c r="P303">
        <v>0</v>
      </c>
      <c r="Q303">
        <v>0</v>
      </c>
      <c r="R303">
        <v>1</v>
      </c>
      <c r="S303">
        <v>1</v>
      </c>
      <c r="T303">
        <v>0</v>
      </c>
      <c r="U303">
        <v>0</v>
      </c>
      <c r="V303">
        <v>8778</v>
      </c>
      <c r="W303"/>
      <c r="X303"/>
      <c r="Y303"/>
      <c r="Z303"/>
      <c r="AA303"/>
      <c r="AB303"/>
      <c r="AC303"/>
      <c r="AD303"/>
    </row>
    <row r="304" spans="2:30" ht="20.25" customHeight="1">
      <c r="B304">
        <v>0</v>
      </c>
      <c r="C304">
        <v>95.7</v>
      </c>
      <c r="D304">
        <v>166.3</v>
      </c>
      <c r="E304">
        <v>64.400000000000006</v>
      </c>
      <c r="F304">
        <v>53</v>
      </c>
      <c r="G304" s="198">
        <v>2081</v>
      </c>
      <c r="H304" s="198">
        <v>98</v>
      </c>
      <c r="I304" s="198">
        <v>3.19</v>
      </c>
      <c r="J304" s="198">
        <v>3.03</v>
      </c>
      <c r="K304" s="198">
        <v>9</v>
      </c>
      <c r="L304" s="198">
        <v>70</v>
      </c>
      <c r="M304" s="198">
        <v>4800</v>
      </c>
      <c r="N304" s="198">
        <v>30</v>
      </c>
      <c r="O304" s="198">
        <v>37</v>
      </c>
      <c r="P304">
        <v>0</v>
      </c>
      <c r="Q304">
        <v>0</v>
      </c>
      <c r="R304">
        <v>1</v>
      </c>
      <c r="S304">
        <v>0</v>
      </c>
      <c r="T304">
        <v>1</v>
      </c>
      <c r="U304">
        <v>0</v>
      </c>
      <c r="V304">
        <v>6938</v>
      </c>
      <c r="W304"/>
      <c r="X304"/>
      <c r="Y304"/>
      <c r="Z304"/>
      <c r="AA304"/>
      <c r="AB304"/>
      <c r="AC304"/>
      <c r="AD304"/>
    </row>
    <row r="305" spans="2:30" ht="20.25" customHeight="1">
      <c r="B305">
        <v>0</v>
      </c>
      <c r="C305">
        <v>95.7</v>
      </c>
      <c r="D305">
        <v>166.3</v>
      </c>
      <c r="E305">
        <v>64.400000000000006</v>
      </c>
      <c r="F305">
        <v>52.8</v>
      </c>
      <c r="G305" s="198">
        <v>2109</v>
      </c>
      <c r="H305" s="198">
        <v>98</v>
      </c>
      <c r="I305" s="198">
        <v>3.19</v>
      </c>
      <c r="J305" s="198">
        <v>3.03</v>
      </c>
      <c r="K305" s="198">
        <v>9</v>
      </c>
      <c r="L305" s="198">
        <v>70</v>
      </c>
      <c r="M305" s="198">
        <v>4800</v>
      </c>
      <c r="N305" s="198">
        <v>30</v>
      </c>
      <c r="O305" s="198">
        <v>37</v>
      </c>
      <c r="P305">
        <v>0</v>
      </c>
      <c r="Q305">
        <v>0</v>
      </c>
      <c r="R305">
        <v>1</v>
      </c>
      <c r="S305">
        <v>0</v>
      </c>
      <c r="T305">
        <v>1</v>
      </c>
      <c r="U305">
        <v>0</v>
      </c>
      <c r="V305">
        <v>7198</v>
      </c>
      <c r="W305"/>
      <c r="X305"/>
      <c r="Y305"/>
      <c r="Z305"/>
      <c r="AA305"/>
      <c r="AB305"/>
      <c r="AC305"/>
      <c r="AD305"/>
    </row>
    <row r="306" spans="2:30" ht="20.25" customHeight="1">
      <c r="B306">
        <v>0</v>
      </c>
      <c r="C306">
        <v>95.7</v>
      </c>
      <c r="D306">
        <v>166.3</v>
      </c>
      <c r="E306">
        <v>64.400000000000006</v>
      </c>
      <c r="F306">
        <v>53</v>
      </c>
      <c r="G306" s="198">
        <v>2275</v>
      </c>
      <c r="H306" s="198">
        <v>110</v>
      </c>
      <c r="I306" s="198">
        <v>3.27</v>
      </c>
      <c r="J306" s="198">
        <v>3.35</v>
      </c>
      <c r="K306" s="198">
        <v>22.5</v>
      </c>
      <c r="L306" s="198">
        <v>56</v>
      </c>
      <c r="M306" s="198">
        <v>4500</v>
      </c>
      <c r="N306" s="198">
        <v>34</v>
      </c>
      <c r="O306" s="198">
        <v>36</v>
      </c>
      <c r="P306">
        <v>1</v>
      </c>
      <c r="Q306">
        <v>0</v>
      </c>
      <c r="R306">
        <v>1</v>
      </c>
      <c r="S306">
        <v>0</v>
      </c>
      <c r="T306">
        <v>1</v>
      </c>
      <c r="U306">
        <v>0</v>
      </c>
      <c r="V306">
        <v>7898</v>
      </c>
      <c r="W306"/>
      <c r="X306"/>
      <c r="Y306"/>
      <c r="Z306"/>
      <c r="AA306"/>
      <c r="AB306"/>
      <c r="AC306"/>
      <c r="AD306"/>
    </row>
    <row r="307" spans="2:30" ht="20.25" customHeight="1">
      <c r="B307">
        <v>0</v>
      </c>
      <c r="C307">
        <v>95.7</v>
      </c>
      <c r="D307">
        <v>166.3</v>
      </c>
      <c r="E307">
        <v>64.400000000000006</v>
      </c>
      <c r="F307">
        <v>52.8</v>
      </c>
      <c r="G307" s="198">
        <v>2275</v>
      </c>
      <c r="H307" s="198">
        <v>110</v>
      </c>
      <c r="I307" s="198">
        <v>3.27</v>
      </c>
      <c r="J307" s="198">
        <v>3.35</v>
      </c>
      <c r="K307" s="198">
        <v>22.5</v>
      </c>
      <c r="L307" s="198">
        <v>56</v>
      </c>
      <c r="M307" s="198">
        <v>4500</v>
      </c>
      <c r="N307" s="198">
        <v>38</v>
      </c>
      <c r="O307" s="198">
        <v>47</v>
      </c>
      <c r="P307">
        <v>1</v>
      </c>
      <c r="Q307">
        <v>0</v>
      </c>
      <c r="R307">
        <v>1</v>
      </c>
      <c r="S307">
        <v>0</v>
      </c>
      <c r="T307">
        <v>1</v>
      </c>
      <c r="U307">
        <v>0</v>
      </c>
      <c r="V307">
        <v>7788</v>
      </c>
      <c r="W307"/>
      <c r="X307"/>
      <c r="Y307"/>
      <c r="Z307"/>
      <c r="AA307"/>
      <c r="AB307"/>
      <c r="AC307"/>
      <c r="AD307"/>
    </row>
    <row r="308" spans="2:30" ht="20.25" customHeight="1">
      <c r="B308">
        <v>0</v>
      </c>
      <c r="C308">
        <v>95.7</v>
      </c>
      <c r="D308">
        <v>166.3</v>
      </c>
      <c r="E308">
        <v>64.400000000000006</v>
      </c>
      <c r="F308">
        <v>53</v>
      </c>
      <c r="G308" s="198">
        <v>2094</v>
      </c>
      <c r="H308" s="198">
        <v>98</v>
      </c>
      <c r="I308" s="198">
        <v>3.19</v>
      </c>
      <c r="J308" s="198">
        <v>3.03</v>
      </c>
      <c r="K308" s="198">
        <v>9</v>
      </c>
      <c r="L308" s="198">
        <v>70</v>
      </c>
      <c r="M308" s="198">
        <v>4800</v>
      </c>
      <c r="N308" s="198">
        <v>38</v>
      </c>
      <c r="O308" s="198">
        <v>47</v>
      </c>
      <c r="P308">
        <v>0</v>
      </c>
      <c r="Q308">
        <v>0</v>
      </c>
      <c r="R308">
        <v>1</v>
      </c>
      <c r="S308">
        <v>0</v>
      </c>
      <c r="T308">
        <v>1</v>
      </c>
      <c r="U308">
        <v>0</v>
      </c>
      <c r="V308">
        <v>7738</v>
      </c>
      <c r="W308"/>
      <c r="X308"/>
      <c r="Y308"/>
      <c r="Z308"/>
      <c r="AA308"/>
      <c r="AB308"/>
      <c r="AC308"/>
      <c r="AD308"/>
    </row>
    <row r="309" spans="2:30" ht="20.25" customHeight="1">
      <c r="B309">
        <v>0</v>
      </c>
      <c r="C309">
        <v>95.7</v>
      </c>
      <c r="D309">
        <v>166.3</v>
      </c>
      <c r="E309">
        <v>64.400000000000006</v>
      </c>
      <c r="F309">
        <v>52.8</v>
      </c>
      <c r="G309" s="198">
        <v>2122</v>
      </c>
      <c r="H309" s="198">
        <v>98</v>
      </c>
      <c r="I309" s="198">
        <v>3.19</v>
      </c>
      <c r="J309" s="198">
        <v>3.03</v>
      </c>
      <c r="K309" s="198">
        <v>9</v>
      </c>
      <c r="L309" s="198">
        <v>70</v>
      </c>
      <c r="M309" s="198">
        <v>4800</v>
      </c>
      <c r="N309" s="198">
        <v>28</v>
      </c>
      <c r="O309" s="198">
        <v>34</v>
      </c>
      <c r="P309">
        <v>0</v>
      </c>
      <c r="Q309">
        <v>0</v>
      </c>
      <c r="R309">
        <v>1</v>
      </c>
      <c r="S309">
        <v>0</v>
      </c>
      <c r="T309">
        <v>1</v>
      </c>
      <c r="U309">
        <v>0</v>
      </c>
      <c r="V309">
        <v>8358</v>
      </c>
      <c r="W309"/>
      <c r="X309"/>
      <c r="Y309"/>
      <c r="Z309"/>
      <c r="AA309"/>
      <c r="AB309"/>
      <c r="AC309"/>
      <c r="AD309"/>
    </row>
    <row r="310" spans="2:30" ht="20.25" customHeight="1">
      <c r="B310">
        <v>0</v>
      </c>
      <c r="C310">
        <v>95.7</v>
      </c>
      <c r="D310">
        <v>166.3</v>
      </c>
      <c r="E310">
        <v>64.400000000000006</v>
      </c>
      <c r="F310">
        <v>52.8</v>
      </c>
      <c r="G310" s="198">
        <v>2140</v>
      </c>
      <c r="H310" s="198">
        <v>98</v>
      </c>
      <c r="I310" s="198">
        <v>3.19</v>
      </c>
      <c r="J310" s="198">
        <v>3.03</v>
      </c>
      <c r="K310" s="198">
        <v>9</v>
      </c>
      <c r="L310" s="198">
        <v>70</v>
      </c>
      <c r="M310" s="198">
        <v>4800</v>
      </c>
      <c r="N310" s="198">
        <v>28</v>
      </c>
      <c r="O310" s="198">
        <v>34</v>
      </c>
      <c r="P310">
        <v>0</v>
      </c>
      <c r="Q310">
        <v>0</v>
      </c>
      <c r="R310">
        <v>1</v>
      </c>
      <c r="S310">
        <v>0</v>
      </c>
      <c r="T310">
        <v>1</v>
      </c>
      <c r="U310">
        <v>0</v>
      </c>
      <c r="V310">
        <v>9258</v>
      </c>
      <c r="W310"/>
      <c r="X310"/>
      <c r="Y310"/>
      <c r="Z310"/>
      <c r="AA310"/>
      <c r="AB310"/>
      <c r="AC310"/>
      <c r="AD310"/>
    </row>
    <row r="311" spans="2:30" ht="20.25" customHeight="1">
      <c r="B311">
        <v>1</v>
      </c>
      <c r="C311">
        <v>94.5</v>
      </c>
      <c r="D311">
        <v>168.7</v>
      </c>
      <c r="E311">
        <v>64</v>
      </c>
      <c r="F311">
        <v>52.6</v>
      </c>
      <c r="G311" s="198">
        <v>2169</v>
      </c>
      <c r="H311" s="198">
        <v>98</v>
      </c>
      <c r="I311" s="198">
        <v>3.19</v>
      </c>
      <c r="J311" s="198">
        <v>3.03</v>
      </c>
      <c r="K311" s="198">
        <v>9</v>
      </c>
      <c r="L311" s="198">
        <v>70</v>
      </c>
      <c r="M311" s="198">
        <v>4800</v>
      </c>
      <c r="N311" s="198">
        <v>29</v>
      </c>
      <c r="O311" s="198">
        <v>34</v>
      </c>
      <c r="P311">
        <v>0</v>
      </c>
      <c r="Q311">
        <v>0</v>
      </c>
      <c r="R311">
        <v>0</v>
      </c>
      <c r="S311">
        <v>0</v>
      </c>
      <c r="T311">
        <v>0</v>
      </c>
      <c r="U311">
        <v>0</v>
      </c>
      <c r="V311">
        <v>8058</v>
      </c>
      <c r="W311"/>
      <c r="X311"/>
      <c r="Y311"/>
      <c r="Z311"/>
      <c r="AA311"/>
      <c r="AB311"/>
      <c r="AC311"/>
      <c r="AD311"/>
    </row>
    <row r="312" spans="2:30" ht="20.25" customHeight="1">
      <c r="B312">
        <v>1</v>
      </c>
      <c r="C312">
        <v>94.5</v>
      </c>
      <c r="D312">
        <v>168.7</v>
      </c>
      <c r="E312">
        <v>64</v>
      </c>
      <c r="F312">
        <v>52.6</v>
      </c>
      <c r="G312" s="198">
        <v>2204</v>
      </c>
      <c r="H312" s="198">
        <v>98</v>
      </c>
      <c r="I312" s="198">
        <v>3.19</v>
      </c>
      <c r="J312" s="198">
        <v>3.03</v>
      </c>
      <c r="K312" s="198">
        <v>9</v>
      </c>
      <c r="L312" s="198">
        <v>70</v>
      </c>
      <c r="M312" s="198">
        <v>4800</v>
      </c>
      <c r="N312" s="198">
        <v>29</v>
      </c>
      <c r="O312" s="198">
        <v>34</v>
      </c>
      <c r="P312">
        <v>0</v>
      </c>
      <c r="Q312">
        <v>0</v>
      </c>
      <c r="R312">
        <v>0</v>
      </c>
      <c r="S312">
        <v>0</v>
      </c>
      <c r="T312">
        <v>0</v>
      </c>
      <c r="U312">
        <v>0</v>
      </c>
      <c r="V312">
        <v>8238</v>
      </c>
      <c r="W312"/>
      <c r="X312"/>
      <c r="Y312"/>
      <c r="Z312"/>
      <c r="AA312"/>
      <c r="AB312"/>
      <c r="AC312"/>
      <c r="AD312"/>
    </row>
    <row r="313" spans="2:30" ht="20.25" customHeight="1">
      <c r="B313">
        <v>1</v>
      </c>
      <c r="C313">
        <v>94.5</v>
      </c>
      <c r="D313">
        <v>168.7</v>
      </c>
      <c r="E313">
        <v>64</v>
      </c>
      <c r="F313">
        <v>52.6</v>
      </c>
      <c r="G313" s="198">
        <v>2265</v>
      </c>
      <c r="H313" s="198">
        <v>98</v>
      </c>
      <c r="I313" s="198">
        <v>3.24</v>
      </c>
      <c r="J313" s="198">
        <v>3.08</v>
      </c>
      <c r="K313" s="198">
        <v>9.4</v>
      </c>
      <c r="L313" s="198">
        <v>112</v>
      </c>
      <c r="M313" s="198">
        <v>6600</v>
      </c>
      <c r="N313" s="198">
        <v>26</v>
      </c>
      <c r="O313" s="198">
        <v>29</v>
      </c>
      <c r="P313">
        <v>0</v>
      </c>
      <c r="Q313">
        <v>0</v>
      </c>
      <c r="R313">
        <v>0</v>
      </c>
      <c r="S313">
        <v>0</v>
      </c>
      <c r="T313">
        <v>0</v>
      </c>
      <c r="U313">
        <v>0</v>
      </c>
      <c r="V313">
        <v>9298</v>
      </c>
      <c r="W313"/>
      <c r="X313"/>
      <c r="Y313"/>
      <c r="Z313"/>
      <c r="AA313"/>
      <c r="AB313"/>
      <c r="AC313"/>
      <c r="AD313"/>
    </row>
    <row r="314" spans="2:30" ht="20.25" customHeight="1">
      <c r="B314">
        <v>1</v>
      </c>
      <c r="C314">
        <v>94.5</v>
      </c>
      <c r="D314">
        <v>168.7</v>
      </c>
      <c r="E314">
        <v>64</v>
      </c>
      <c r="F314">
        <v>52.6</v>
      </c>
      <c r="G314" s="198">
        <v>2300</v>
      </c>
      <c r="H314" s="198">
        <v>98</v>
      </c>
      <c r="I314" s="198">
        <v>3.24</v>
      </c>
      <c r="J314" s="198">
        <v>3.08</v>
      </c>
      <c r="K314" s="198">
        <v>9.4</v>
      </c>
      <c r="L314" s="198">
        <v>112</v>
      </c>
      <c r="M314" s="198">
        <v>6600</v>
      </c>
      <c r="N314" s="198">
        <v>26</v>
      </c>
      <c r="O314" s="198">
        <v>29</v>
      </c>
      <c r="P314">
        <v>0</v>
      </c>
      <c r="Q314">
        <v>0</v>
      </c>
      <c r="R314">
        <v>0</v>
      </c>
      <c r="S314">
        <v>0</v>
      </c>
      <c r="T314">
        <v>0</v>
      </c>
      <c r="U314">
        <v>0</v>
      </c>
      <c r="V314">
        <v>9538</v>
      </c>
      <c r="W314"/>
      <c r="X314"/>
      <c r="Y314"/>
      <c r="Z314"/>
      <c r="AA314"/>
      <c r="AB314"/>
      <c r="AC314"/>
      <c r="AD314"/>
    </row>
    <row r="315" spans="2:30" ht="20.25" customHeight="1">
      <c r="B315">
        <v>2</v>
      </c>
      <c r="C315">
        <v>98.4</v>
      </c>
      <c r="D315">
        <v>176.2</v>
      </c>
      <c r="E315">
        <v>65.599999999999994</v>
      </c>
      <c r="F315">
        <v>52</v>
      </c>
      <c r="G315" s="198">
        <v>2540</v>
      </c>
      <c r="H315" s="198">
        <v>146</v>
      </c>
      <c r="I315" s="198">
        <v>3.62</v>
      </c>
      <c r="J315" s="198">
        <v>3.5</v>
      </c>
      <c r="K315" s="198">
        <v>9.3000000000000007</v>
      </c>
      <c r="L315" s="198">
        <v>116</v>
      </c>
      <c r="M315" s="198">
        <v>4800</v>
      </c>
      <c r="N315" s="198">
        <v>24</v>
      </c>
      <c r="O315" s="198">
        <v>30</v>
      </c>
      <c r="P315">
        <v>0</v>
      </c>
      <c r="Q315">
        <v>0</v>
      </c>
      <c r="R315">
        <v>0</v>
      </c>
      <c r="S315">
        <v>0</v>
      </c>
      <c r="T315">
        <v>0</v>
      </c>
      <c r="U315">
        <v>0</v>
      </c>
      <c r="V315">
        <v>8449</v>
      </c>
      <c r="W315"/>
      <c r="X315"/>
      <c r="Y315"/>
      <c r="Z315"/>
      <c r="AA315"/>
      <c r="AB315"/>
      <c r="AC315"/>
      <c r="AD315"/>
    </row>
    <row r="316" spans="2:30" ht="20.25" customHeight="1">
      <c r="B316">
        <v>2</v>
      </c>
      <c r="C316">
        <v>98.4</v>
      </c>
      <c r="D316">
        <v>176.2</v>
      </c>
      <c r="E316">
        <v>65.599999999999994</v>
      </c>
      <c r="F316">
        <v>52</v>
      </c>
      <c r="G316" s="198">
        <v>2536</v>
      </c>
      <c r="H316" s="198">
        <v>146</v>
      </c>
      <c r="I316" s="198">
        <v>3.62</v>
      </c>
      <c r="J316" s="198">
        <v>3.5</v>
      </c>
      <c r="K316" s="198">
        <v>9.3000000000000007</v>
      </c>
      <c r="L316" s="198">
        <v>116</v>
      </c>
      <c r="M316" s="198">
        <v>4800</v>
      </c>
      <c r="N316" s="198">
        <v>24</v>
      </c>
      <c r="O316" s="198">
        <v>30</v>
      </c>
      <c r="P316">
        <v>0</v>
      </c>
      <c r="Q316">
        <v>0</v>
      </c>
      <c r="R316">
        <v>0</v>
      </c>
      <c r="S316">
        <v>0</v>
      </c>
      <c r="T316">
        <v>0</v>
      </c>
      <c r="U316">
        <v>0</v>
      </c>
      <c r="V316">
        <v>9639</v>
      </c>
      <c r="W316"/>
      <c r="X316"/>
      <c r="Y316"/>
      <c r="Z316"/>
      <c r="AA316"/>
      <c r="AB316"/>
      <c r="AC316"/>
      <c r="AD316"/>
    </row>
    <row r="317" spans="2:30" ht="20.25" customHeight="1">
      <c r="B317">
        <v>2</v>
      </c>
      <c r="C317">
        <v>98.4</v>
      </c>
      <c r="D317">
        <v>176.2</v>
      </c>
      <c r="E317">
        <v>65.599999999999994</v>
      </c>
      <c r="F317">
        <v>52</v>
      </c>
      <c r="G317" s="198">
        <v>2551</v>
      </c>
      <c r="H317" s="198">
        <v>146</v>
      </c>
      <c r="I317" s="198">
        <v>3.62</v>
      </c>
      <c r="J317" s="198">
        <v>3.5</v>
      </c>
      <c r="K317" s="198">
        <v>9.3000000000000007</v>
      </c>
      <c r="L317" s="198">
        <v>116</v>
      </c>
      <c r="M317" s="198">
        <v>4800</v>
      </c>
      <c r="N317" s="198">
        <v>24</v>
      </c>
      <c r="O317" s="198">
        <v>30</v>
      </c>
      <c r="P317">
        <v>0</v>
      </c>
      <c r="Q317">
        <v>0</v>
      </c>
      <c r="R317">
        <v>0</v>
      </c>
      <c r="S317">
        <v>0</v>
      </c>
      <c r="T317">
        <v>0</v>
      </c>
      <c r="U317">
        <v>0</v>
      </c>
      <c r="V317">
        <v>9989</v>
      </c>
      <c r="W317"/>
      <c r="X317"/>
      <c r="Y317"/>
      <c r="Z317"/>
      <c r="AA317"/>
      <c r="AB317"/>
      <c r="AC317"/>
      <c r="AD317"/>
    </row>
    <row r="318" spans="2:30">
      <c r="B318">
        <v>2</v>
      </c>
      <c r="C318">
        <v>98.4</v>
      </c>
      <c r="D318">
        <v>176.2</v>
      </c>
      <c r="E318">
        <v>65.599999999999994</v>
      </c>
      <c r="F318">
        <v>52</v>
      </c>
      <c r="G318" s="198">
        <v>2679</v>
      </c>
      <c r="H318" s="198">
        <v>146</v>
      </c>
      <c r="I318" s="198">
        <v>3.62</v>
      </c>
      <c r="J318" s="198">
        <v>3.5</v>
      </c>
      <c r="K318" s="198">
        <v>9.3000000000000007</v>
      </c>
      <c r="L318" s="198">
        <v>116</v>
      </c>
      <c r="M318" s="198">
        <v>4800</v>
      </c>
      <c r="N318" s="198">
        <v>24</v>
      </c>
      <c r="O318" s="198">
        <v>30</v>
      </c>
      <c r="P318">
        <v>0</v>
      </c>
      <c r="Q318">
        <v>0</v>
      </c>
      <c r="R318">
        <v>0</v>
      </c>
      <c r="S318">
        <v>0</v>
      </c>
      <c r="T318">
        <v>0</v>
      </c>
      <c r="U318">
        <v>0</v>
      </c>
      <c r="V318">
        <v>11199</v>
      </c>
      <c r="W318"/>
      <c r="X318"/>
      <c r="Y318"/>
      <c r="Z318"/>
      <c r="AA318"/>
      <c r="AB318"/>
      <c r="AC318"/>
      <c r="AD318"/>
    </row>
    <row r="319" spans="2:30">
      <c r="B319">
        <v>2</v>
      </c>
      <c r="C319">
        <v>98.4</v>
      </c>
      <c r="D319">
        <v>176.2</v>
      </c>
      <c r="E319">
        <v>65.599999999999994</v>
      </c>
      <c r="F319">
        <v>52</v>
      </c>
      <c r="G319" s="198">
        <v>2714</v>
      </c>
      <c r="H319" s="198">
        <v>146</v>
      </c>
      <c r="I319" s="198">
        <v>3.62</v>
      </c>
      <c r="J319" s="198">
        <v>3.5</v>
      </c>
      <c r="K319" s="198">
        <v>9.3000000000000007</v>
      </c>
      <c r="L319" s="198">
        <v>116</v>
      </c>
      <c r="M319" s="198">
        <v>4800</v>
      </c>
      <c r="N319" s="198">
        <v>24</v>
      </c>
      <c r="O319" s="198">
        <v>30</v>
      </c>
      <c r="P319">
        <v>0</v>
      </c>
      <c r="Q319">
        <v>0</v>
      </c>
      <c r="R319">
        <v>0</v>
      </c>
      <c r="S319">
        <v>0</v>
      </c>
      <c r="T319">
        <v>0</v>
      </c>
      <c r="U319">
        <v>0</v>
      </c>
      <c r="V319">
        <v>11549</v>
      </c>
      <c r="W319"/>
      <c r="X319"/>
      <c r="Y319"/>
      <c r="Z319"/>
      <c r="AA319"/>
      <c r="AB319"/>
      <c r="AC319"/>
      <c r="AD319"/>
    </row>
    <row r="320" spans="2:30">
      <c r="B320">
        <v>2</v>
      </c>
      <c r="C320">
        <v>98.4</v>
      </c>
      <c r="D320">
        <v>176.2</v>
      </c>
      <c r="E320">
        <v>65.599999999999994</v>
      </c>
      <c r="F320">
        <v>53</v>
      </c>
      <c r="G320" s="198">
        <v>2975</v>
      </c>
      <c r="H320" s="198">
        <v>146</v>
      </c>
      <c r="I320" s="198">
        <v>3.62</v>
      </c>
      <c r="J320" s="198">
        <v>3.5</v>
      </c>
      <c r="K320" s="198">
        <v>9.3000000000000007</v>
      </c>
      <c r="L320" s="198">
        <v>116</v>
      </c>
      <c r="M320" s="198">
        <v>4800</v>
      </c>
      <c r="N320" s="198">
        <v>24</v>
      </c>
      <c r="O320" s="198">
        <v>30</v>
      </c>
      <c r="P320">
        <v>0</v>
      </c>
      <c r="Q320">
        <v>0</v>
      </c>
      <c r="R320">
        <v>0</v>
      </c>
      <c r="S320">
        <v>0</v>
      </c>
      <c r="T320">
        <v>0</v>
      </c>
      <c r="U320">
        <v>0</v>
      </c>
      <c r="V320">
        <v>17669</v>
      </c>
      <c r="W320"/>
      <c r="X320"/>
      <c r="Y320"/>
      <c r="Z320"/>
      <c r="AA320"/>
      <c r="AB320"/>
      <c r="AC320"/>
      <c r="AD320"/>
    </row>
    <row r="321" spans="2:30">
      <c r="B321">
        <v>-1</v>
      </c>
      <c r="C321">
        <v>102.4</v>
      </c>
      <c r="D321">
        <v>175.6</v>
      </c>
      <c r="E321">
        <v>66.5</v>
      </c>
      <c r="F321">
        <v>54.9</v>
      </c>
      <c r="G321" s="198">
        <v>2326</v>
      </c>
      <c r="H321" s="198">
        <v>122</v>
      </c>
      <c r="I321" s="198">
        <v>3.31</v>
      </c>
      <c r="J321" s="198">
        <v>3.54</v>
      </c>
      <c r="K321" s="198">
        <v>8.6999999999999993</v>
      </c>
      <c r="L321" s="198">
        <v>92</v>
      </c>
      <c r="M321" s="198">
        <v>4200</v>
      </c>
      <c r="N321" s="198">
        <v>29</v>
      </c>
      <c r="O321" s="198">
        <v>34</v>
      </c>
      <c r="P321">
        <v>0</v>
      </c>
      <c r="Q321">
        <v>0</v>
      </c>
      <c r="R321">
        <v>1</v>
      </c>
      <c r="S321">
        <v>0</v>
      </c>
      <c r="T321">
        <v>1</v>
      </c>
      <c r="U321">
        <v>0</v>
      </c>
      <c r="V321">
        <v>8948</v>
      </c>
      <c r="W321"/>
      <c r="X321"/>
      <c r="Y321"/>
      <c r="Z321"/>
      <c r="AA321"/>
      <c r="AB321"/>
      <c r="AC321"/>
      <c r="AD321"/>
    </row>
    <row r="322" spans="2:30">
      <c r="B322">
        <v>-1</v>
      </c>
      <c r="C322">
        <v>102.4</v>
      </c>
      <c r="D322">
        <v>175.6</v>
      </c>
      <c r="E322">
        <v>66.5</v>
      </c>
      <c r="F322">
        <v>54.9</v>
      </c>
      <c r="G322" s="198">
        <v>2480</v>
      </c>
      <c r="H322" s="198">
        <v>110</v>
      </c>
      <c r="I322" s="198">
        <v>3.27</v>
      </c>
      <c r="J322" s="198">
        <v>3.35</v>
      </c>
      <c r="K322" s="198">
        <v>22.5</v>
      </c>
      <c r="L322" s="198">
        <v>73</v>
      </c>
      <c r="M322" s="198">
        <v>4500</v>
      </c>
      <c r="N322" s="198">
        <v>30</v>
      </c>
      <c r="O322" s="198">
        <v>33</v>
      </c>
      <c r="P322">
        <v>1</v>
      </c>
      <c r="Q322">
        <v>1</v>
      </c>
      <c r="R322">
        <v>1</v>
      </c>
      <c r="S322">
        <v>0</v>
      </c>
      <c r="T322">
        <v>1</v>
      </c>
      <c r="U322">
        <v>0</v>
      </c>
      <c r="V322">
        <v>10698</v>
      </c>
      <c r="W322"/>
      <c r="X322"/>
      <c r="Y322"/>
      <c r="Z322"/>
      <c r="AA322"/>
      <c r="AB322"/>
      <c r="AC322"/>
      <c r="AD322"/>
    </row>
    <row r="323" spans="2:30">
      <c r="B323">
        <v>-1</v>
      </c>
      <c r="C323">
        <v>102.4</v>
      </c>
      <c r="D323">
        <v>175.6</v>
      </c>
      <c r="E323">
        <v>66.5</v>
      </c>
      <c r="F323">
        <v>53.9</v>
      </c>
      <c r="G323" s="198">
        <v>2414</v>
      </c>
      <c r="H323" s="198">
        <v>122</v>
      </c>
      <c r="I323" s="198">
        <v>3.31</v>
      </c>
      <c r="J323" s="198">
        <v>3.54</v>
      </c>
      <c r="K323" s="198">
        <v>8.6999999999999993</v>
      </c>
      <c r="L323" s="198">
        <v>92</v>
      </c>
      <c r="M323" s="198">
        <v>4200</v>
      </c>
      <c r="N323" s="198">
        <v>27</v>
      </c>
      <c r="O323" s="198">
        <v>32</v>
      </c>
      <c r="P323">
        <v>0</v>
      </c>
      <c r="Q323">
        <v>0</v>
      </c>
      <c r="R323">
        <v>1</v>
      </c>
      <c r="S323">
        <v>0</v>
      </c>
      <c r="T323">
        <v>1</v>
      </c>
      <c r="U323">
        <v>0</v>
      </c>
      <c r="V323">
        <v>9988</v>
      </c>
      <c r="W323"/>
      <c r="X323"/>
      <c r="Y323"/>
      <c r="Z323"/>
      <c r="AA323"/>
      <c r="AB323"/>
      <c r="AC323"/>
      <c r="AD323"/>
    </row>
    <row r="324" spans="2:30">
      <c r="B324">
        <v>-1</v>
      </c>
      <c r="C324">
        <v>102.4</v>
      </c>
      <c r="D324">
        <v>175.6</v>
      </c>
      <c r="E324">
        <v>66.5</v>
      </c>
      <c r="F324">
        <v>54.9</v>
      </c>
      <c r="G324" s="198">
        <v>2414</v>
      </c>
      <c r="H324" s="198">
        <v>122</v>
      </c>
      <c r="I324" s="198">
        <v>3.31</v>
      </c>
      <c r="J324" s="198">
        <v>3.54</v>
      </c>
      <c r="K324" s="198">
        <v>8.6999999999999993</v>
      </c>
      <c r="L324" s="198">
        <v>92</v>
      </c>
      <c r="M324" s="198">
        <v>4200</v>
      </c>
      <c r="N324" s="198">
        <v>27</v>
      </c>
      <c r="O324" s="198">
        <v>32</v>
      </c>
      <c r="P324">
        <v>0</v>
      </c>
      <c r="Q324">
        <v>0</v>
      </c>
      <c r="R324">
        <v>1</v>
      </c>
      <c r="S324">
        <v>0</v>
      </c>
      <c r="T324">
        <v>1</v>
      </c>
      <c r="U324">
        <v>0</v>
      </c>
      <c r="V324">
        <v>10898</v>
      </c>
      <c r="W324"/>
      <c r="X324"/>
      <c r="Y324"/>
      <c r="Z324"/>
      <c r="AA324"/>
      <c r="AB324"/>
      <c r="AC324"/>
      <c r="AD324"/>
    </row>
    <row r="325" spans="2:30">
      <c r="B325">
        <v>-1</v>
      </c>
      <c r="C325">
        <v>102.4</v>
      </c>
      <c r="D325">
        <v>175.6</v>
      </c>
      <c r="E325">
        <v>66.5</v>
      </c>
      <c r="F325">
        <v>53.9</v>
      </c>
      <c r="G325" s="198">
        <v>2458</v>
      </c>
      <c r="H325" s="198">
        <v>122</v>
      </c>
      <c r="I325" s="198">
        <v>3.31</v>
      </c>
      <c r="J325" s="198">
        <v>3.54</v>
      </c>
      <c r="K325" s="198">
        <v>8.6999999999999993</v>
      </c>
      <c r="L325" s="198">
        <v>92</v>
      </c>
      <c r="M325" s="198">
        <v>4200</v>
      </c>
      <c r="N325" s="198">
        <v>27</v>
      </c>
      <c r="O325" s="198">
        <v>32</v>
      </c>
      <c r="P325">
        <v>0</v>
      </c>
      <c r="Q325">
        <v>0</v>
      </c>
      <c r="R325">
        <v>1</v>
      </c>
      <c r="S325">
        <v>0</v>
      </c>
      <c r="T325">
        <v>1</v>
      </c>
      <c r="U325">
        <v>0</v>
      </c>
      <c r="V325">
        <v>11248</v>
      </c>
      <c r="W325"/>
      <c r="X325"/>
      <c r="Y325"/>
      <c r="Z325"/>
      <c r="AA325"/>
      <c r="AB325"/>
      <c r="AC325"/>
      <c r="AD325"/>
    </row>
    <row r="326" spans="2:30">
      <c r="B326">
        <v>3</v>
      </c>
      <c r="C326">
        <v>102.9</v>
      </c>
      <c r="D326">
        <v>183.5</v>
      </c>
      <c r="E326">
        <v>67.7</v>
      </c>
      <c r="F326">
        <v>52</v>
      </c>
      <c r="G326" s="198">
        <v>2976</v>
      </c>
      <c r="H326" s="198">
        <v>171</v>
      </c>
      <c r="I326" s="198">
        <v>3.27</v>
      </c>
      <c r="J326" s="198">
        <v>3.35</v>
      </c>
      <c r="K326" s="198">
        <v>9.3000000000000007</v>
      </c>
      <c r="L326" s="198">
        <v>161</v>
      </c>
      <c r="M326" s="198">
        <v>5200</v>
      </c>
      <c r="N326" s="198">
        <v>20</v>
      </c>
      <c r="O326" s="198">
        <v>24</v>
      </c>
      <c r="P326">
        <v>0</v>
      </c>
      <c r="Q326">
        <v>0</v>
      </c>
      <c r="R326">
        <v>0</v>
      </c>
      <c r="S326">
        <v>0</v>
      </c>
      <c r="T326">
        <v>0</v>
      </c>
      <c r="U326">
        <v>0</v>
      </c>
      <c r="V326">
        <v>16558</v>
      </c>
      <c r="W326"/>
      <c r="X326"/>
      <c r="Y326"/>
      <c r="Z326"/>
      <c r="AA326"/>
      <c r="AB326"/>
      <c r="AC326"/>
      <c r="AD326"/>
    </row>
    <row r="327" spans="2:30">
      <c r="B327">
        <v>3</v>
      </c>
      <c r="C327">
        <v>102.9</v>
      </c>
      <c r="D327">
        <v>183.5</v>
      </c>
      <c r="E327">
        <v>67.7</v>
      </c>
      <c r="F327">
        <v>52</v>
      </c>
      <c r="G327" s="198">
        <v>3016</v>
      </c>
      <c r="H327" s="198">
        <v>171</v>
      </c>
      <c r="I327" s="198">
        <v>3.27</v>
      </c>
      <c r="J327" s="198">
        <v>3.35</v>
      </c>
      <c r="K327" s="198">
        <v>9.3000000000000007</v>
      </c>
      <c r="L327" s="198">
        <v>161</v>
      </c>
      <c r="M327" s="198">
        <v>5200</v>
      </c>
      <c r="N327" s="198">
        <v>19</v>
      </c>
      <c r="O327" s="198">
        <v>24</v>
      </c>
      <c r="P327">
        <v>0</v>
      </c>
      <c r="Q327">
        <v>0</v>
      </c>
      <c r="R327">
        <v>0</v>
      </c>
      <c r="S327">
        <v>0</v>
      </c>
      <c r="T327">
        <v>0</v>
      </c>
      <c r="U327">
        <v>0</v>
      </c>
      <c r="V327">
        <v>15998</v>
      </c>
      <c r="W327"/>
      <c r="X327"/>
      <c r="Y327"/>
      <c r="Z327"/>
      <c r="AA327"/>
      <c r="AB327"/>
      <c r="AC327"/>
      <c r="AD327"/>
    </row>
    <row r="328" spans="2:30">
      <c r="B328">
        <v>-1</v>
      </c>
      <c r="C328">
        <v>104.5</v>
      </c>
      <c r="D328">
        <v>187.8</v>
      </c>
      <c r="E328">
        <v>66.5</v>
      </c>
      <c r="F328">
        <v>54.1</v>
      </c>
      <c r="G328" s="198">
        <v>3131</v>
      </c>
      <c r="H328" s="198">
        <v>171</v>
      </c>
      <c r="I328" s="198">
        <v>3.27</v>
      </c>
      <c r="J328" s="198">
        <v>3.35</v>
      </c>
      <c r="K328" s="198">
        <v>9.1999999999999993</v>
      </c>
      <c r="L328" s="198">
        <v>156</v>
      </c>
      <c r="M328" s="198">
        <v>5200</v>
      </c>
      <c r="N328" s="198">
        <v>20</v>
      </c>
      <c r="O328" s="198">
        <v>24</v>
      </c>
      <c r="P328">
        <v>0</v>
      </c>
      <c r="Q328">
        <v>0</v>
      </c>
      <c r="R328">
        <v>1</v>
      </c>
      <c r="S328">
        <v>0</v>
      </c>
      <c r="T328">
        <v>0</v>
      </c>
      <c r="U328">
        <v>0</v>
      </c>
      <c r="V328">
        <v>15690</v>
      </c>
      <c r="W328"/>
      <c r="X328"/>
      <c r="Y328"/>
      <c r="Z328"/>
      <c r="AA328"/>
      <c r="AB328"/>
      <c r="AC328"/>
      <c r="AD328"/>
    </row>
    <row r="329" spans="2:30">
      <c r="B329">
        <v>-1</v>
      </c>
      <c r="C329">
        <v>104.5</v>
      </c>
      <c r="D329">
        <v>187.8</v>
      </c>
      <c r="E329">
        <v>66.5</v>
      </c>
      <c r="F329">
        <v>54.1</v>
      </c>
      <c r="G329" s="198">
        <v>3151</v>
      </c>
      <c r="H329" s="198">
        <v>161</v>
      </c>
      <c r="I329" s="198">
        <v>3.27</v>
      </c>
      <c r="J329" s="198">
        <v>3.35</v>
      </c>
      <c r="K329" s="198">
        <v>9.1999999999999993</v>
      </c>
      <c r="L329" s="198">
        <v>156</v>
      </c>
      <c r="M329" s="198">
        <v>5200</v>
      </c>
      <c r="N329" s="198">
        <v>19</v>
      </c>
      <c r="O329" s="198">
        <v>24</v>
      </c>
      <c r="P329">
        <v>0</v>
      </c>
      <c r="Q329">
        <v>0</v>
      </c>
      <c r="R329">
        <v>1</v>
      </c>
      <c r="S329">
        <v>0</v>
      </c>
      <c r="T329">
        <v>0</v>
      </c>
      <c r="U329">
        <v>0</v>
      </c>
      <c r="V329">
        <v>15750</v>
      </c>
      <c r="W329"/>
      <c r="X329"/>
      <c r="Y329"/>
      <c r="Z329"/>
      <c r="AA329"/>
      <c r="AB329"/>
      <c r="AC329"/>
      <c r="AD329"/>
    </row>
    <row r="330" spans="2:30">
      <c r="B330">
        <v>2</v>
      </c>
      <c r="C330">
        <v>97.3</v>
      </c>
      <c r="D330">
        <v>171.7</v>
      </c>
      <c r="E330">
        <v>65.5</v>
      </c>
      <c r="F330">
        <v>55.7</v>
      </c>
      <c r="G330" s="198">
        <v>2261</v>
      </c>
      <c r="H330" s="198">
        <v>97</v>
      </c>
      <c r="I330" s="198">
        <v>3.01</v>
      </c>
      <c r="J330" s="198">
        <v>3.4</v>
      </c>
      <c r="K330" s="198">
        <v>23</v>
      </c>
      <c r="L330" s="198">
        <v>52</v>
      </c>
      <c r="M330" s="198">
        <v>4800</v>
      </c>
      <c r="N330" s="198">
        <v>37</v>
      </c>
      <c r="O330" s="198">
        <v>46</v>
      </c>
      <c r="P330">
        <v>1</v>
      </c>
      <c r="Q330">
        <v>0</v>
      </c>
      <c r="R330">
        <v>0</v>
      </c>
      <c r="S330">
        <v>0</v>
      </c>
      <c r="T330">
        <v>1</v>
      </c>
      <c r="U330">
        <v>0</v>
      </c>
      <c r="V330">
        <v>7775</v>
      </c>
      <c r="W330"/>
      <c r="X330"/>
      <c r="Y330"/>
      <c r="Z330"/>
      <c r="AA330"/>
      <c r="AB330"/>
      <c r="AC330"/>
      <c r="AD330"/>
    </row>
    <row r="331" spans="2:30">
      <c r="B331">
        <v>2</v>
      </c>
      <c r="C331">
        <v>97.3</v>
      </c>
      <c r="D331">
        <v>171.7</v>
      </c>
      <c r="E331">
        <v>65.5</v>
      </c>
      <c r="F331">
        <v>55.7</v>
      </c>
      <c r="G331" s="198">
        <v>2209</v>
      </c>
      <c r="H331" s="198">
        <v>109</v>
      </c>
      <c r="I331" s="198">
        <v>3.19</v>
      </c>
      <c r="J331" s="198">
        <v>3.4</v>
      </c>
      <c r="K331" s="198">
        <v>9</v>
      </c>
      <c r="L331" s="198">
        <v>85</v>
      </c>
      <c r="M331" s="198">
        <v>5250</v>
      </c>
      <c r="N331" s="198">
        <v>27</v>
      </c>
      <c r="O331" s="198">
        <v>34</v>
      </c>
      <c r="P331">
        <v>0</v>
      </c>
      <c r="Q331">
        <v>0</v>
      </c>
      <c r="R331">
        <v>0</v>
      </c>
      <c r="S331">
        <v>0</v>
      </c>
      <c r="T331">
        <v>1</v>
      </c>
      <c r="U331">
        <v>0</v>
      </c>
      <c r="V331">
        <v>7975</v>
      </c>
      <c r="W331"/>
      <c r="X331"/>
      <c r="Y331"/>
      <c r="Z331"/>
      <c r="AA331"/>
      <c r="AB331"/>
      <c r="AC331"/>
      <c r="AD331"/>
    </row>
    <row r="332" spans="2:30">
      <c r="B332">
        <v>2</v>
      </c>
      <c r="C332">
        <v>97.3</v>
      </c>
      <c r="D332">
        <v>171.7</v>
      </c>
      <c r="E332">
        <v>65.5</v>
      </c>
      <c r="F332">
        <v>55.7</v>
      </c>
      <c r="G332" s="198">
        <v>2264</v>
      </c>
      <c r="H332" s="198">
        <v>97</v>
      </c>
      <c r="I332" s="198">
        <v>3.01</v>
      </c>
      <c r="J332" s="198">
        <v>3.4</v>
      </c>
      <c r="K332" s="198">
        <v>23</v>
      </c>
      <c r="L332" s="198">
        <v>52</v>
      </c>
      <c r="M332" s="198">
        <v>4800</v>
      </c>
      <c r="N332" s="198">
        <v>37</v>
      </c>
      <c r="O332" s="198">
        <v>46</v>
      </c>
      <c r="P332">
        <v>1</v>
      </c>
      <c r="Q332">
        <v>0</v>
      </c>
      <c r="R332">
        <v>1</v>
      </c>
      <c r="S332">
        <v>0</v>
      </c>
      <c r="T332">
        <v>1</v>
      </c>
      <c r="U332">
        <v>0</v>
      </c>
      <c r="V332">
        <v>7995</v>
      </c>
      <c r="W332"/>
      <c r="X332"/>
      <c r="Y332"/>
      <c r="Z332"/>
      <c r="AA332"/>
      <c r="AB332"/>
      <c r="AC332"/>
      <c r="AD332"/>
    </row>
    <row r="333" spans="2:30">
      <c r="B333">
        <v>2</v>
      </c>
      <c r="C333">
        <v>97.3</v>
      </c>
      <c r="D333">
        <v>171.7</v>
      </c>
      <c r="E333">
        <v>65.5</v>
      </c>
      <c r="F333">
        <v>55.7</v>
      </c>
      <c r="G333" s="198">
        <v>2212</v>
      </c>
      <c r="H333" s="198">
        <v>109</v>
      </c>
      <c r="I333" s="198">
        <v>3.19</v>
      </c>
      <c r="J333" s="198">
        <v>3.4</v>
      </c>
      <c r="K333" s="198">
        <v>9</v>
      </c>
      <c r="L333" s="198">
        <v>85</v>
      </c>
      <c r="M333" s="198">
        <v>5250</v>
      </c>
      <c r="N333" s="198">
        <v>27</v>
      </c>
      <c r="O333" s="198">
        <v>34</v>
      </c>
      <c r="P333">
        <v>0</v>
      </c>
      <c r="Q333">
        <v>0</v>
      </c>
      <c r="R333">
        <v>1</v>
      </c>
      <c r="S333">
        <v>0</v>
      </c>
      <c r="T333">
        <v>1</v>
      </c>
      <c r="U333">
        <v>0</v>
      </c>
      <c r="V333">
        <v>8195</v>
      </c>
      <c r="W333"/>
      <c r="X333"/>
      <c r="Y333"/>
      <c r="Z333"/>
      <c r="AA333"/>
      <c r="AB333"/>
      <c r="AC333"/>
      <c r="AD333"/>
    </row>
    <row r="334" spans="2:30">
      <c r="B334">
        <v>2</v>
      </c>
      <c r="C334">
        <v>97.3</v>
      </c>
      <c r="D334">
        <v>171.7</v>
      </c>
      <c r="E334">
        <v>65.5</v>
      </c>
      <c r="F334">
        <v>55.7</v>
      </c>
      <c r="G334" s="198">
        <v>2275</v>
      </c>
      <c r="H334" s="198">
        <v>109</v>
      </c>
      <c r="I334" s="198">
        <v>3.19</v>
      </c>
      <c r="J334" s="198">
        <v>3.4</v>
      </c>
      <c r="K334" s="198">
        <v>9</v>
      </c>
      <c r="L334" s="198">
        <v>85</v>
      </c>
      <c r="M334" s="198">
        <v>5250</v>
      </c>
      <c r="N334" s="198">
        <v>27</v>
      </c>
      <c r="O334" s="198">
        <v>34</v>
      </c>
      <c r="P334">
        <v>0</v>
      </c>
      <c r="Q334">
        <v>0</v>
      </c>
      <c r="R334">
        <v>1</v>
      </c>
      <c r="S334">
        <v>0</v>
      </c>
      <c r="T334">
        <v>1</v>
      </c>
      <c r="U334">
        <v>0</v>
      </c>
      <c r="V334">
        <v>8495</v>
      </c>
      <c r="W334"/>
      <c r="X334"/>
      <c r="Y334"/>
      <c r="Z334"/>
      <c r="AA334"/>
      <c r="AB334"/>
      <c r="AC334"/>
      <c r="AD334"/>
    </row>
    <row r="335" spans="2:30">
      <c r="B335">
        <v>2</v>
      </c>
      <c r="C335">
        <v>97.3</v>
      </c>
      <c r="D335">
        <v>171.7</v>
      </c>
      <c r="E335">
        <v>65.5</v>
      </c>
      <c r="F335">
        <v>55.7</v>
      </c>
      <c r="G335" s="198">
        <v>2319</v>
      </c>
      <c r="H335" s="198">
        <v>97</v>
      </c>
      <c r="I335" s="198">
        <v>3.01</v>
      </c>
      <c r="J335" s="198">
        <v>3.4</v>
      </c>
      <c r="K335" s="198">
        <v>23</v>
      </c>
      <c r="L335" s="198">
        <v>68</v>
      </c>
      <c r="M335" s="198">
        <v>4500</v>
      </c>
      <c r="N335" s="198">
        <v>37</v>
      </c>
      <c r="O335" s="198">
        <v>42</v>
      </c>
      <c r="P335">
        <v>1</v>
      </c>
      <c r="Q335">
        <v>1</v>
      </c>
      <c r="R335">
        <v>1</v>
      </c>
      <c r="S335">
        <v>0</v>
      </c>
      <c r="T335">
        <v>1</v>
      </c>
      <c r="U335">
        <v>0</v>
      </c>
      <c r="V335">
        <v>9495</v>
      </c>
      <c r="W335"/>
      <c r="X335"/>
      <c r="Y335"/>
      <c r="Z335"/>
      <c r="AA335"/>
      <c r="AB335"/>
      <c r="AC335"/>
      <c r="AD335"/>
    </row>
    <row r="336" spans="2:30">
      <c r="B336">
        <v>2</v>
      </c>
      <c r="C336">
        <v>97.3</v>
      </c>
      <c r="D336">
        <v>171.7</v>
      </c>
      <c r="E336">
        <v>65.5</v>
      </c>
      <c r="F336">
        <v>55.7</v>
      </c>
      <c r="G336" s="198">
        <v>2300</v>
      </c>
      <c r="H336" s="198">
        <v>109</v>
      </c>
      <c r="I336" s="198">
        <v>3.19</v>
      </c>
      <c r="J336" s="198">
        <v>3.4</v>
      </c>
      <c r="K336" s="198">
        <v>10</v>
      </c>
      <c r="L336" s="198">
        <v>100</v>
      </c>
      <c r="M336" s="198">
        <v>5500</v>
      </c>
      <c r="N336" s="198">
        <v>26</v>
      </c>
      <c r="O336" s="198">
        <v>32</v>
      </c>
      <c r="P336">
        <v>0</v>
      </c>
      <c r="Q336">
        <v>0</v>
      </c>
      <c r="R336">
        <v>1</v>
      </c>
      <c r="S336">
        <v>0</v>
      </c>
      <c r="T336">
        <v>1</v>
      </c>
      <c r="U336">
        <v>0</v>
      </c>
      <c r="V336">
        <v>9995</v>
      </c>
      <c r="W336"/>
      <c r="X336"/>
      <c r="Y336"/>
      <c r="Z336"/>
      <c r="AA336"/>
      <c r="AB336"/>
      <c r="AC336"/>
      <c r="AD336"/>
    </row>
    <row r="337" spans="2:30">
      <c r="B337">
        <v>3</v>
      </c>
      <c r="C337">
        <v>94.5</v>
      </c>
      <c r="D337">
        <v>159.30000000000001</v>
      </c>
      <c r="E337">
        <v>64.2</v>
      </c>
      <c r="F337">
        <v>55.6</v>
      </c>
      <c r="G337" s="198">
        <v>2254</v>
      </c>
      <c r="H337" s="198">
        <v>109</v>
      </c>
      <c r="I337" s="198">
        <v>3.19</v>
      </c>
      <c r="J337" s="198">
        <v>3.4</v>
      </c>
      <c r="K337" s="198">
        <v>8.5</v>
      </c>
      <c r="L337" s="198">
        <v>90</v>
      </c>
      <c r="M337" s="198">
        <v>5500</v>
      </c>
      <c r="N337" s="198">
        <v>24</v>
      </c>
      <c r="O337" s="198">
        <v>29</v>
      </c>
      <c r="P337">
        <v>0</v>
      </c>
      <c r="Q337">
        <v>0</v>
      </c>
      <c r="R337">
        <v>0</v>
      </c>
      <c r="S337">
        <v>0</v>
      </c>
      <c r="T337">
        <v>1</v>
      </c>
      <c r="U337">
        <v>0</v>
      </c>
      <c r="V337">
        <v>11595</v>
      </c>
      <c r="W337"/>
      <c r="X337"/>
      <c r="Y337"/>
      <c r="Z337"/>
      <c r="AA337"/>
      <c r="AB337"/>
      <c r="AC337"/>
      <c r="AD337"/>
    </row>
    <row r="338" spans="2:30">
      <c r="B338">
        <v>3</v>
      </c>
      <c r="C338">
        <v>94.5</v>
      </c>
      <c r="D338">
        <v>165.7</v>
      </c>
      <c r="E338">
        <v>64</v>
      </c>
      <c r="F338">
        <v>51.4</v>
      </c>
      <c r="G338" s="198">
        <v>2221</v>
      </c>
      <c r="H338" s="198">
        <v>109</v>
      </c>
      <c r="I338" s="198">
        <v>3.19</v>
      </c>
      <c r="J338" s="198">
        <v>3.4</v>
      </c>
      <c r="K338" s="198">
        <v>8.5</v>
      </c>
      <c r="L338" s="198">
        <v>90</v>
      </c>
      <c r="M338" s="198">
        <v>5500</v>
      </c>
      <c r="N338" s="198">
        <v>24</v>
      </c>
      <c r="O338" s="198">
        <v>29</v>
      </c>
      <c r="P338">
        <v>0</v>
      </c>
      <c r="Q338">
        <v>0</v>
      </c>
      <c r="R338">
        <v>0</v>
      </c>
      <c r="S338">
        <v>0</v>
      </c>
      <c r="T338">
        <v>1</v>
      </c>
      <c r="U338">
        <v>0</v>
      </c>
      <c r="V338">
        <v>9980</v>
      </c>
      <c r="W338"/>
      <c r="X338"/>
      <c r="Y338"/>
      <c r="Z338"/>
      <c r="AA338"/>
      <c r="AB338"/>
      <c r="AC338"/>
      <c r="AD338"/>
    </row>
    <row r="339" spans="2:30">
      <c r="B339">
        <v>0</v>
      </c>
      <c r="C339">
        <v>100.4</v>
      </c>
      <c r="D339">
        <v>180.2</v>
      </c>
      <c r="E339">
        <v>66.900000000000006</v>
      </c>
      <c r="F339">
        <v>55.1</v>
      </c>
      <c r="G339" s="198">
        <v>2661</v>
      </c>
      <c r="H339" s="198">
        <v>136</v>
      </c>
      <c r="I339" s="198">
        <v>3.19</v>
      </c>
      <c r="J339" s="198">
        <v>3.4</v>
      </c>
      <c r="K339" s="198">
        <v>8.5</v>
      </c>
      <c r="L339" s="198">
        <v>110</v>
      </c>
      <c r="M339" s="198">
        <v>5500</v>
      </c>
      <c r="N339" s="198">
        <v>19</v>
      </c>
      <c r="O339" s="198">
        <v>24</v>
      </c>
      <c r="P339">
        <v>0</v>
      </c>
      <c r="Q339">
        <v>0</v>
      </c>
      <c r="R339">
        <v>1</v>
      </c>
      <c r="S339">
        <v>0</v>
      </c>
      <c r="T339">
        <v>1</v>
      </c>
      <c r="U339">
        <v>0</v>
      </c>
      <c r="V339">
        <v>13295</v>
      </c>
      <c r="W339"/>
      <c r="X339"/>
      <c r="Y339"/>
      <c r="Z339"/>
      <c r="AA339"/>
      <c r="AB339"/>
      <c r="AC339"/>
      <c r="AD339"/>
    </row>
    <row r="340" spans="2:30">
      <c r="B340">
        <v>0</v>
      </c>
      <c r="C340">
        <v>100.4</v>
      </c>
      <c r="D340">
        <v>180.2</v>
      </c>
      <c r="E340">
        <v>66.900000000000006</v>
      </c>
      <c r="F340">
        <v>55.1</v>
      </c>
      <c r="G340" s="198">
        <v>2579</v>
      </c>
      <c r="H340" s="198">
        <v>97</v>
      </c>
      <c r="I340" s="198">
        <v>3.01</v>
      </c>
      <c r="J340" s="198">
        <v>3.4</v>
      </c>
      <c r="K340" s="198">
        <v>23</v>
      </c>
      <c r="L340" s="198">
        <v>68</v>
      </c>
      <c r="M340" s="198">
        <v>4500</v>
      </c>
      <c r="N340" s="198">
        <v>33</v>
      </c>
      <c r="O340" s="198">
        <v>38</v>
      </c>
      <c r="P340">
        <v>1</v>
      </c>
      <c r="Q340">
        <v>1</v>
      </c>
      <c r="R340">
        <v>1</v>
      </c>
      <c r="S340">
        <v>0</v>
      </c>
      <c r="T340">
        <v>1</v>
      </c>
      <c r="U340">
        <v>0</v>
      </c>
      <c r="V340">
        <v>13845</v>
      </c>
      <c r="W340"/>
      <c r="X340"/>
      <c r="Y340"/>
      <c r="Z340"/>
      <c r="AA340"/>
      <c r="AB340"/>
      <c r="AC340"/>
      <c r="AD340"/>
    </row>
    <row r="341" spans="2:30">
      <c r="B341">
        <v>0</v>
      </c>
      <c r="C341">
        <v>100.4</v>
      </c>
      <c r="D341">
        <v>183.1</v>
      </c>
      <c r="E341">
        <v>66.900000000000006</v>
      </c>
      <c r="F341">
        <v>55.1</v>
      </c>
      <c r="G341" s="198">
        <v>2563</v>
      </c>
      <c r="H341" s="198">
        <v>109</v>
      </c>
      <c r="I341" s="198">
        <v>3.19</v>
      </c>
      <c r="J341" s="198">
        <v>3.4</v>
      </c>
      <c r="K341" s="198">
        <v>9</v>
      </c>
      <c r="L341" s="198">
        <v>88</v>
      </c>
      <c r="M341" s="198">
        <v>5500</v>
      </c>
      <c r="N341" s="198">
        <v>25</v>
      </c>
      <c r="O341" s="198">
        <v>31</v>
      </c>
      <c r="P341">
        <v>0</v>
      </c>
      <c r="Q341">
        <v>0</v>
      </c>
      <c r="R341">
        <v>1</v>
      </c>
      <c r="S341">
        <v>0</v>
      </c>
      <c r="T341">
        <v>1</v>
      </c>
      <c r="U341">
        <v>0</v>
      </c>
      <c r="V341">
        <v>12290</v>
      </c>
      <c r="W341"/>
      <c r="X341"/>
      <c r="Y341"/>
      <c r="Z341"/>
      <c r="AA341"/>
      <c r="AB341"/>
      <c r="AC341"/>
      <c r="AD341"/>
    </row>
    <row r="342" spans="2:30">
      <c r="B342">
        <v>-2</v>
      </c>
      <c r="C342">
        <v>104.3</v>
      </c>
      <c r="D342">
        <v>188.8</v>
      </c>
      <c r="E342">
        <v>67.2</v>
      </c>
      <c r="F342">
        <v>56.2</v>
      </c>
      <c r="G342" s="198">
        <v>2912</v>
      </c>
      <c r="H342" s="198">
        <v>141</v>
      </c>
      <c r="I342" s="198">
        <v>3.78</v>
      </c>
      <c r="J342" s="198">
        <v>3.15</v>
      </c>
      <c r="K342" s="198">
        <v>9.5</v>
      </c>
      <c r="L342" s="198">
        <v>114</v>
      </c>
      <c r="M342" s="198">
        <v>5400</v>
      </c>
      <c r="N342" s="198">
        <v>23</v>
      </c>
      <c r="O342" s="198">
        <v>28</v>
      </c>
      <c r="P342">
        <v>0</v>
      </c>
      <c r="Q342">
        <v>0</v>
      </c>
      <c r="R342">
        <v>1</v>
      </c>
      <c r="S342">
        <v>0</v>
      </c>
      <c r="T342">
        <v>0</v>
      </c>
      <c r="U342">
        <v>0</v>
      </c>
      <c r="V342">
        <v>12940</v>
      </c>
      <c r="W342"/>
      <c r="X342"/>
      <c r="Y342"/>
      <c r="Z342"/>
      <c r="AA342"/>
      <c r="AB342"/>
      <c r="AC342"/>
      <c r="AD342"/>
    </row>
    <row r="343" spans="2:30">
      <c r="B343">
        <v>-1</v>
      </c>
      <c r="C343">
        <v>104.3</v>
      </c>
      <c r="D343">
        <v>188.8</v>
      </c>
      <c r="E343">
        <v>67.2</v>
      </c>
      <c r="F343">
        <v>57.5</v>
      </c>
      <c r="G343" s="198">
        <v>3034</v>
      </c>
      <c r="H343" s="198">
        <v>141</v>
      </c>
      <c r="I343" s="198">
        <v>3.78</v>
      </c>
      <c r="J343" s="198">
        <v>3.15</v>
      </c>
      <c r="K343" s="198">
        <v>9.5</v>
      </c>
      <c r="L343" s="198">
        <v>114</v>
      </c>
      <c r="M343" s="198">
        <v>5400</v>
      </c>
      <c r="N343" s="198">
        <v>23</v>
      </c>
      <c r="O343" s="198">
        <v>28</v>
      </c>
      <c r="P343">
        <v>0</v>
      </c>
      <c r="Q343">
        <v>0</v>
      </c>
      <c r="R343">
        <v>1</v>
      </c>
      <c r="S343">
        <v>0</v>
      </c>
      <c r="T343">
        <v>0</v>
      </c>
      <c r="U343">
        <v>0</v>
      </c>
      <c r="V343">
        <v>13415</v>
      </c>
      <c r="W343"/>
      <c r="X343"/>
      <c r="Y343"/>
      <c r="Z343"/>
      <c r="AA343"/>
      <c r="AB343"/>
      <c r="AC343"/>
      <c r="AD343"/>
    </row>
    <row r="344" spans="2:30">
      <c r="B344">
        <v>-2</v>
      </c>
      <c r="C344">
        <v>104.3</v>
      </c>
      <c r="D344">
        <v>188.8</v>
      </c>
      <c r="E344">
        <v>67.2</v>
      </c>
      <c r="F344">
        <v>56.2</v>
      </c>
      <c r="G344" s="198">
        <v>2935</v>
      </c>
      <c r="H344" s="198">
        <v>141</v>
      </c>
      <c r="I344" s="198">
        <v>3.78</v>
      </c>
      <c r="J344" s="198">
        <v>3.15</v>
      </c>
      <c r="K344" s="198">
        <v>9.5</v>
      </c>
      <c r="L344" s="198">
        <v>114</v>
      </c>
      <c r="M344" s="198">
        <v>5400</v>
      </c>
      <c r="N344" s="198">
        <v>24</v>
      </c>
      <c r="O344" s="198">
        <v>28</v>
      </c>
      <c r="P344">
        <v>0</v>
      </c>
      <c r="Q344">
        <v>0</v>
      </c>
      <c r="R344">
        <v>1</v>
      </c>
      <c r="S344">
        <v>0</v>
      </c>
      <c r="T344">
        <v>0</v>
      </c>
      <c r="U344">
        <v>0</v>
      </c>
      <c r="V344">
        <v>15985</v>
      </c>
      <c r="W344"/>
      <c r="X344"/>
      <c r="Y344"/>
      <c r="Z344"/>
      <c r="AA344"/>
      <c r="AB344"/>
      <c r="AC344"/>
      <c r="AD344"/>
    </row>
    <row r="345" spans="2:30">
      <c r="B345">
        <v>-1</v>
      </c>
      <c r="C345">
        <v>104.3</v>
      </c>
      <c r="D345">
        <v>188.8</v>
      </c>
      <c r="E345">
        <v>67.2</v>
      </c>
      <c r="F345">
        <v>57.5</v>
      </c>
      <c r="G345" s="198">
        <v>3042</v>
      </c>
      <c r="H345" s="198">
        <v>141</v>
      </c>
      <c r="I345" s="198">
        <v>3.78</v>
      </c>
      <c r="J345" s="198">
        <v>3.15</v>
      </c>
      <c r="K345" s="198">
        <v>9.5</v>
      </c>
      <c r="L345" s="198">
        <v>114</v>
      </c>
      <c r="M345" s="198">
        <v>5400</v>
      </c>
      <c r="N345" s="198">
        <v>24</v>
      </c>
      <c r="O345" s="198">
        <v>28</v>
      </c>
      <c r="P345">
        <v>0</v>
      </c>
      <c r="Q345">
        <v>0</v>
      </c>
      <c r="R345">
        <v>1</v>
      </c>
      <c r="S345">
        <v>0</v>
      </c>
      <c r="T345">
        <v>0</v>
      </c>
      <c r="U345">
        <v>0</v>
      </c>
      <c r="V345">
        <v>16515</v>
      </c>
      <c r="W345"/>
      <c r="X345"/>
      <c r="Y345"/>
      <c r="Z345"/>
      <c r="AA345"/>
      <c r="AB345"/>
      <c r="AC345"/>
      <c r="AD345"/>
    </row>
    <row r="346" spans="2:30">
      <c r="B346">
        <v>-2</v>
      </c>
      <c r="C346">
        <v>104.3</v>
      </c>
      <c r="D346">
        <v>188.8</v>
      </c>
      <c r="E346">
        <v>67.2</v>
      </c>
      <c r="F346">
        <v>56.2</v>
      </c>
      <c r="G346" s="198">
        <v>3045</v>
      </c>
      <c r="H346" s="198">
        <v>130</v>
      </c>
      <c r="I346" s="198">
        <v>3.62</v>
      </c>
      <c r="J346" s="198">
        <v>3.15</v>
      </c>
      <c r="K346" s="198">
        <v>7.5</v>
      </c>
      <c r="L346" s="198">
        <v>162</v>
      </c>
      <c r="M346" s="198">
        <v>5100</v>
      </c>
      <c r="N346" s="198">
        <v>17</v>
      </c>
      <c r="O346" s="198">
        <v>22</v>
      </c>
      <c r="P346">
        <v>0</v>
      </c>
      <c r="Q346">
        <v>1</v>
      </c>
      <c r="R346">
        <v>1</v>
      </c>
      <c r="S346">
        <v>0</v>
      </c>
      <c r="T346">
        <v>0</v>
      </c>
      <c r="U346">
        <v>0</v>
      </c>
      <c r="V346">
        <v>18420</v>
      </c>
      <c r="W346"/>
      <c r="X346"/>
      <c r="Y346"/>
      <c r="Z346"/>
      <c r="AA346"/>
      <c r="AB346"/>
      <c r="AC346"/>
      <c r="AD346"/>
    </row>
    <row r="347" spans="2:30">
      <c r="B347">
        <v>-1</v>
      </c>
      <c r="C347">
        <v>104.3</v>
      </c>
      <c r="D347">
        <v>188.8</v>
      </c>
      <c r="E347">
        <v>67.2</v>
      </c>
      <c r="F347">
        <v>57.5</v>
      </c>
      <c r="G347" s="198">
        <v>3157</v>
      </c>
      <c r="H347" s="198">
        <v>130</v>
      </c>
      <c r="I347" s="198">
        <v>3.62</v>
      </c>
      <c r="J347" s="198">
        <v>3.15</v>
      </c>
      <c r="K347" s="198">
        <v>7.5</v>
      </c>
      <c r="L347" s="198">
        <v>162</v>
      </c>
      <c r="M347" s="198">
        <v>5100</v>
      </c>
      <c r="N347" s="198">
        <v>17</v>
      </c>
      <c r="O347" s="198">
        <v>22</v>
      </c>
      <c r="P347">
        <v>0</v>
      </c>
      <c r="Q347">
        <v>1</v>
      </c>
      <c r="R347">
        <v>1</v>
      </c>
      <c r="S347">
        <v>0</v>
      </c>
      <c r="T347">
        <v>0</v>
      </c>
      <c r="U347">
        <v>0</v>
      </c>
      <c r="V347">
        <v>18950</v>
      </c>
      <c r="W347"/>
      <c r="X347"/>
      <c r="Y347"/>
      <c r="Z347"/>
      <c r="AA347"/>
      <c r="AB347"/>
      <c r="AC347"/>
      <c r="AD347"/>
    </row>
    <row r="348" spans="2:30">
      <c r="B348">
        <v>-1</v>
      </c>
      <c r="C348">
        <v>109.1</v>
      </c>
      <c r="D348">
        <v>188.8</v>
      </c>
      <c r="E348">
        <v>68.900000000000006</v>
      </c>
      <c r="F348">
        <v>55.5</v>
      </c>
      <c r="G348" s="198">
        <v>2952</v>
      </c>
      <c r="H348" s="198">
        <v>141</v>
      </c>
      <c r="I348" s="198">
        <v>3.78</v>
      </c>
      <c r="J348" s="198">
        <v>3.15</v>
      </c>
      <c r="K348" s="198">
        <v>9.5</v>
      </c>
      <c r="L348" s="198">
        <v>114</v>
      </c>
      <c r="M348" s="198">
        <v>5400</v>
      </c>
      <c r="N348" s="198">
        <v>23</v>
      </c>
      <c r="O348" s="198">
        <v>28</v>
      </c>
      <c r="P348">
        <v>0</v>
      </c>
      <c r="Q348">
        <v>0</v>
      </c>
      <c r="R348">
        <v>1</v>
      </c>
      <c r="S348">
        <v>0</v>
      </c>
      <c r="T348">
        <v>0</v>
      </c>
      <c r="U348">
        <v>0</v>
      </c>
      <c r="V348">
        <v>16845</v>
      </c>
      <c r="W348"/>
      <c r="X348"/>
      <c r="Y348"/>
      <c r="Z348"/>
      <c r="AA348"/>
      <c r="AB348"/>
      <c r="AC348"/>
      <c r="AD348"/>
    </row>
    <row r="349" spans="2:30">
      <c r="B349">
        <v>-1</v>
      </c>
      <c r="C349">
        <v>109.1</v>
      </c>
      <c r="D349">
        <v>188.8</v>
      </c>
      <c r="E349">
        <v>68.8</v>
      </c>
      <c r="F349">
        <v>55.5</v>
      </c>
      <c r="G349" s="198">
        <v>3049</v>
      </c>
      <c r="H349" s="198">
        <v>141</v>
      </c>
      <c r="I349" s="198">
        <v>3.78</v>
      </c>
      <c r="J349" s="198">
        <v>3.15</v>
      </c>
      <c r="K349" s="198">
        <v>8.6999999999999993</v>
      </c>
      <c r="L349" s="198">
        <v>160</v>
      </c>
      <c r="M349" s="198">
        <v>5300</v>
      </c>
      <c r="N349" s="198">
        <v>19</v>
      </c>
      <c r="O349" s="198">
        <v>25</v>
      </c>
      <c r="P349">
        <v>0</v>
      </c>
      <c r="Q349">
        <v>1</v>
      </c>
      <c r="R349">
        <v>1</v>
      </c>
      <c r="S349">
        <v>0</v>
      </c>
      <c r="T349">
        <v>0</v>
      </c>
      <c r="U349">
        <v>0</v>
      </c>
      <c r="V349">
        <v>19045</v>
      </c>
      <c r="W349"/>
      <c r="X349"/>
      <c r="Y349"/>
      <c r="Z349"/>
      <c r="AA349"/>
      <c r="AB349"/>
      <c r="AC349"/>
      <c r="AD349"/>
    </row>
    <row r="350" spans="2:30">
      <c r="B350">
        <v>-1</v>
      </c>
      <c r="C350">
        <v>109.1</v>
      </c>
      <c r="D350">
        <v>188.8</v>
      </c>
      <c r="E350">
        <v>68.900000000000006</v>
      </c>
      <c r="F350">
        <v>55.5</v>
      </c>
      <c r="G350" s="198">
        <v>3012</v>
      </c>
      <c r="H350" s="198">
        <v>173</v>
      </c>
      <c r="I350" s="198">
        <v>3.58</v>
      </c>
      <c r="J350" s="198">
        <v>2.87</v>
      </c>
      <c r="K350" s="198">
        <v>8.8000000000000007</v>
      </c>
      <c r="L350" s="198">
        <v>134</v>
      </c>
      <c r="M350" s="198">
        <v>5500</v>
      </c>
      <c r="N350" s="198">
        <v>18</v>
      </c>
      <c r="O350" s="198">
        <v>23</v>
      </c>
      <c r="P350">
        <v>0</v>
      </c>
      <c r="Q350">
        <v>0</v>
      </c>
      <c r="R350">
        <v>1</v>
      </c>
      <c r="S350">
        <v>0</v>
      </c>
      <c r="T350">
        <v>0</v>
      </c>
      <c r="U350">
        <v>0</v>
      </c>
      <c r="V350">
        <v>21485</v>
      </c>
      <c r="W350"/>
      <c r="X350"/>
      <c r="Y350"/>
      <c r="Z350"/>
      <c r="AA350"/>
      <c r="AB350"/>
      <c r="AC350"/>
      <c r="AD350"/>
    </row>
    <row r="351" spans="2:30">
      <c r="B351">
        <v>-1</v>
      </c>
      <c r="C351">
        <v>109.1</v>
      </c>
      <c r="D351">
        <v>188.8</v>
      </c>
      <c r="E351">
        <v>68.900000000000006</v>
      </c>
      <c r="F351">
        <v>55.5</v>
      </c>
      <c r="G351" s="198">
        <v>3217</v>
      </c>
      <c r="H351" s="198">
        <v>145</v>
      </c>
      <c r="I351" s="198">
        <v>3.01</v>
      </c>
      <c r="J351" s="198">
        <v>3.4</v>
      </c>
      <c r="K351" s="198">
        <v>23</v>
      </c>
      <c r="L351" s="198">
        <v>106</v>
      </c>
      <c r="M351" s="198">
        <v>4800</v>
      </c>
      <c r="N351" s="198">
        <v>26</v>
      </c>
      <c r="O351" s="198">
        <v>27</v>
      </c>
      <c r="P351">
        <v>1</v>
      </c>
      <c r="Q351">
        <v>1</v>
      </c>
      <c r="R351">
        <v>1</v>
      </c>
      <c r="S351">
        <v>0</v>
      </c>
      <c r="T351">
        <v>0</v>
      </c>
      <c r="U351">
        <v>0</v>
      </c>
      <c r="V351">
        <v>22470</v>
      </c>
      <c r="W351"/>
      <c r="X351"/>
      <c r="Y351"/>
      <c r="Z351"/>
      <c r="AA351"/>
      <c r="AB351"/>
      <c r="AC351"/>
      <c r="AD351"/>
    </row>
    <row r="352" spans="2:30">
      <c r="B352">
        <v>-1</v>
      </c>
      <c r="C352">
        <v>109.1</v>
      </c>
      <c r="D352">
        <v>188.8</v>
      </c>
      <c r="E352">
        <v>68.900000000000006</v>
      </c>
      <c r="F352">
        <v>55.5</v>
      </c>
      <c r="G352" s="2">
        <v>3062</v>
      </c>
      <c r="H352" s="2">
        <v>141</v>
      </c>
      <c r="I352" s="2">
        <v>3.78</v>
      </c>
      <c r="J352" s="2">
        <v>3.15</v>
      </c>
      <c r="K352" s="2">
        <v>9.5</v>
      </c>
      <c r="L352" s="2">
        <v>114</v>
      </c>
      <c r="M352" s="2">
        <v>5400</v>
      </c>
      <c r="N352" s="2">
        <v>19</v>
      </c>
      <c r="O352" s="2">
        <v>25</v>
      </c>
      <c r="P352" s="2">
        <v>0</v>
      </c>
      <c r="Q352" s="2">
        <v>1</v>
      </c>
      <c r="R352" s="2">
        <v>1</v>
      </c>
      <c r="S352" s="2">
        <v>0</v>
      </c>
      <c r="T352" s="2">
        <v>0</v>
      </c>
      <c r="U352" s="2">
        <v>0</v>
      </c>
      <c r="V352" s="2">
        <v>22625</v>
      </c>
      <c r="W352"/>
      <c r="X352"/>
      <c r="Y352"/>
      <c r="Z352"/>
      <c r="AA352"/>
      <c r="AB352"/>
      <c r="AC352"/>
      <c r="AD352"/>
    </row>
    <row r="353" spans="23:30">
      <c r="W353"/>
      <c r="X353"/>
      <c r="Y353"/>
      <c r="Z353"/>
      <c r="AA353"/>
      <c r="AB353"/>
      <c r="AC353"/>
      <c r="AD353"/>
    </row>
    <row r="354" spans="23:30">
      <c r="W354"/>
      <c r="X354"/>
      <c r="Y354"/>
      <c r="Z354"/>
      <c r="AA354"/>
      <c r="AB354"/>
      <c r="AC354"/>
      <c r="AD354"/>
    </row>
    <row r="355" spans="23:30">
      <c r="W355"/>
      <c r="X355"/>
      <c r="Y355"/>
      <c r="Z355"/>
      <c r="AA355"/>
      <c r="AB355"/>
      <c r="AC355"/>
      <c r="AD355"/>
    </row>
    <row r="356" spans="23:30">
      <c r="W356"/>
      <c r="X356"/>
      <c r="Y356"/>
      <c r="Z356"/>
      <c r="AA356"/>
      <c r="AB356"/>
      <c r="AC356"/>
      <c r="AD356"/>
    </row>
    <row r="357" spans="23:30">
      <c r="W357"/>
      <c r="X357"/>
      <c r="Y357"/>
      <c r="Z357"/>
      <c r="AA357"/>
      <c r="AB357"/>
      <c r="AC357"/>
      <c r="AD357"/>
    </row>
    <row r="358" spans="23:30">
      <c r="W358"/>
      <c r="X358"/>
      <c r="Y358"/>
      <c r="Z358"/>
      <c r="AA358"/>
      <c r="AB358"/>
      <c r="AC358"/>
      <c r="AD358"/>
    </row>
    <row r="359" spans="23:30">
      <c r="W359"/>
      <c r="X359"/>
      <c r="Y359"/>
      <c r="Z359"/>
      <c r="AA359"/>
      <c r="AB359"/>
      <c r="AC359"/>
      <c r="AD359"/>
    </row>
    <row r="360" spans="23:30">
      <c r="W360"/>
      <c r="X360"/>
      <c r="Y360"/>
      <c r="Z360"/>
      <c r="AA360"/>
      <c r="AB360"/>
      <c r="AC360"/>
      <c r="AD360"/>
    </row>
    <row r="361" spans="23:30">
      <c r="W361"/>
      <c r="X361"/>
      <c r="Y361"/>
      <c r="Z361"/>
      <c r="AA361"/>
      <c r="AB361"/>
      <c r="AC361"/>
      <c r="AD361"/>
    </row>
    <row r="362" spans="23:30">
      <c r="W362"/>
      <c r="X362"/>
      <c r="Y362"/>
      <c r="Z362"/>
      <c r="AA362"/>
      <c r="AB362"/>
      <c r="AC362"/>
      <c r="AD362"/>
    </row>
    <row r="363" spans="23:30">
      <c r="W363"/>
      <c r="X363"/>
      <c r="Y363"/>
      <c r="Z363"/>
      <c r="AA363"/>
      <c r="AB363"/>
      <c r="AC363"/>
      <c r="AD363"/>
    </row>
    <row r="364" spans="23:30">
      <c r="W364"/>
      <c r="X364"/>
      <c r="Y364"/>
      <c r="Z364"/>
      <c r="AA364"/>
      <c r="AB364"/>
      <c r="AC364"/>
      <c r="AD364"/>
    </row>
    <row r="365" spans="23:30">
      <c r="W365"/>
      <c r="X365"/>
      <c r="Y365"/>
      <c r="Z365"/>
      <c r="AA365"/>
      <c r="AB365"/>
      <c r="AC365"/>
      <c r="AD365"/>
    </row>
    <row r="366" spans="23:30">
      <c r="W366"/>
      <c r="X366"/>
      <c r="Y366"/>
      <c r="Z366"/>
      <c r="AA366"/>
      <c r="AB366"/>
      <c r="AC366"/>
      <c r="AD366"/>
    </row>
    <row r="367" spans="23:30">
      <c r="W367"/>
      <c r="X367"/>
      <c r="Y367"/>
      <c r="Z367"/>
      <c r="AA367"/>
      <c r="AB367"/>
      <c r="AC367"/>
      <c r="AD367"/>
    </row>
    <row r="368" spans="23:30">
      <c r="W368"/>
      <c r="X368"/>
      <c r="Y368"/>
      <c r="Z368"/>
      <c r="AA368"/>
      <c r="AB368"/>
      <c r="AC368"/>
      <c r="AD368"/>
    </row>
    <row r="369" spans="23:30">
      <c r="W369"/>
      <c r="X369"/>
      <c r="Y369"/>
      <c r="Z369"/>
      <c r="AA369"/>
      <c r="AB369"/>
      <c r="AC369"/>
      <c r="AD369"/>
    </row>
    <row r="370" spans="23:30">
      <c r="W370"/>
      <c r="X370"/>
      <c r="Y370"/>
      <c r="Z370"/>
      <c r="AA370"/>
      <c r="AB370"/>
      <c r="AC370"/>
      <c r="AD370"/>
    </row>
    <row r="371" spans="23:30">
      <c r="W371"/>
      <c r="X371"/>
      <c r="Y371"/>
      <c r="Z371"/>
      <c r="AA371"/>
      <c r="AB371"/>
      <c r="AC371"/>
      <c r="AD371"/>
    </row>
    <row r="372" spans="23:30">
      <c r="W372"/>
      <c r="X372"/>
      <c r="Y372"/>
      <c r="Z372"/>
      <c r="AA372"/>
      <c r="AB372"/>
      <c r="AC372"/>
      <c r="AD372"/>
    </row>
    <row r="373" spans="23:30">
      <c r="W373"/>
      <c r="X373"/>
      <c r="Y373"/>
      <c r="Z373"/>
      <c r="AA373"/>
      <c r="AB373"/>
      <c r="AC373"/>
      <c r="AD373"/>
    </row>
    <row r="374" spans="23:30">
      <c r="W374"/>
      <c r="X374"/>
      <c r="Y374"/>
      <c r="Z374"/>
      <c r="AA374"/>
      <c r="AB374"/>
      <c r="AC374"/>
      <c r="AD374"/>
    </row>
    <row r="375" spans="23:30">
      <c r="W375"/>
      <c r="X375"/>
      <c r="Y375"/>
      <c r="Z375"/>
      <c r="AA375"/>
      <c r="AB375"/>
      <c r="AC375"/>
      <c r="AD375"/>
    </row>
    <row r="376" spans="23:30">
      <c r="W376"/>
      <c r="X376"/>
      <c r="Y376"/>
      <c r="Z376"/>
      <c r="AA376"/>
      <c r="AB376"/>
      <c r="AC376"/>
      <c r="AD376"/>
    </row>
    <row r="377" spans="23:30">
      <c r="W377"/>
      <c r="X377"/>
      <c r="Y377"/>
      <c r="Z377"/>
      <c r="AA377"/>
      <c r="AB377"/>
      <c r="AC377"/>
      <c r="AD377"/>
    </row>
    <row r="378" spans="23:30">
      <c r="W378"/>
      <c r="X378"/>
      <c r="Y378"/>
      <c r="Z378"/>
      <c r="AA378"/>
      <c r="AB378"/>
      <c r="AC378"/>
      <c r="AD378"/>
    </row>
    <row r="379" spans="23:30">
      <c r="W379"/>
      <c r="X379"/>
      <c r="Y379"/>
      <c r="Z379"/>
      <c r="AA379"/>
      <c r="AB379"/>
      <c r="AC379"/>
      <c r="AD379"/>
    </row>
    <row r="380" spans="23:30">
      <c r="W380"/>
      <c r="X380"/>
      <c r="Y380"/>
      <c r="Z380"/>
      <c r="AA380"/>
      <c r="AB380"/>
      <c r="AC380"/>
      <c r="AD380"/>
    </row>
    <row r="381" spans="23:30">
      <c r="W381"/>
      <c r="X381"/>
      <c r="Y381"/>
      <c r="Z381"/>
      <c r="AA381"/>
      <c r="AB381"/>
      <c r="AC381"/>
      <c r="AD381"/>
    </row>
    <row r="382" spans="23:30">
      <c r="W382"/>
      <c r="X382"/>
      <c r="Y382"/>
      <c r="Z382"/>
      <c r="AA382"/>
      <c r="AB382"/>
      <c r="AC382"/>
      <c r="AD382"/>
    </row>
    <row r="383" spans="23:30">
      <c r="W383"/>
      <c r="X383"/>
      <c r="Y383"/>
      <c r="Z383"/>
      <c r="AA383"/>
      <c r="AB383"/>
      <c r="AC383"/>
      <c r="AD383"/>
    </row>
    <row r="384" spans="23:30">
      <c r="W384"/>
      <c r="X384"/>
      <c r="Y384"/>
      <c r="Z384"/>
      <c r="AA384"/>
      <c r="AB384"/>
      <c r="AC384"/>
      <c r="AD384"/>
    </row>
    <row r="385" spans="23:30">
      <c r="W385"/>
      <c r="X385"/>
      <c r="Y385"/>
      <c r="Z385"/>
      <c r="AA385"/>
      <c r="AB385"/>
      <c r="AC385"/>
      <c r="AD385"/>
    </row>
    <row r="386" spans="23:30">
      <c r="W386"/>
      <c r="X386"/>
      <c r="Y386"/>
      <c r="Z386"/>
      <c r="AA386"/>
      <c r="AB386"/>
      <c r="AC386"/>
      <c r="AD386"/>
    </row>
    <row r="387" spans="23:30">
      <c r="W387"/>
      <c r="X387"/>
      <c r="Y387"/>
      <c r="Z387"/>
      <c r="AA387"/>
      <c r="AB387"/>
      <c r="AC387"/>
      <c r="AD387"/>
    </row>
    <row r="388" spans="23:30">
      <c r="W388"/>
      <c r="X388"/>
      <c r="Y388"/>
      <c r="Z388"/>
      <c r="AA388"/>
      <c r="AB388"/>
      <c r="AC388"/>
      <c r="AD388"/>
    </row>
    <row r="389" spans="23:30">
      <c r="W389"/>
      <c r="X389"/>
      <c r="Y389"/>
      <c r="Z389"/>
      <c r="AA389"/>
      <c r="AB389"/>
      <c r="AC389"/>
      <c r="AD389"/>
    </row>
    <row r="390" spans="23:30">
      <c r="W390"/>
      <c r="X390"/>
      <c r="Y390"/>
      <c r="Z390"/>
      <c r="AA390"/>
      <c r="AB390"/>
      <c r="AC390"/>
      <c r="AD390"/>
    </row>
    <row r="391" spans="23:30">
      <c r="W391"/>
      <c r="X391"/>
      <c r="Y391"/>
      <c r="Z391"/>
      <c r="AA391"/>
      <c r="AB391"/>
      <c r="AC391"/>
      <c r="AD391"/>
    </row>
    <row r="392" spans="23:30">
      <c r="W392"/>
      <c r="X392"/>
      <c r="Y392"/>
      <c r="Z392"/>
      <c r="AA392"/>
      <c r="AB392"/>
      <c r="AC392"/>
      <c r="AD392"/>
    </row>
    <row r="393" spans="23:30">
      <c r="W393"/>
      <c r="X393"/>
      <c r="Y393"/>
      <c r="Z393"/>
      <c r="AA393"/>
      <c r="AB393"/>
      <c r="AC393"/>
      <c r="AD393"/>
    </row>
    <row r="394" spans="23:30">
      <c r="W394"/>
      <c r="X394"/>
      <c r="Y394"/>
      <c r="Z394"/>
      <c r="AA394"/>
      <c r="AB394"/>
      <c r="AC394"/>
      <c r="AD394"/>
    </row>
    <row r="395" spans="23:30">
      <c r="W395"/>
      <c r="X395"/>
      <c r="Y395"/>
      <c r="Z395"/>
      <c r="AA395"/>
      <c r="AB395"/>
      <c r="AC395"/>
      <c r="AD395"/>
    </row>
    <row r="396" spans="23:30">
      <c r="W396"/>
      <c r="X396"/>
      <c r="Y396"/>
      <c r="Z396"/>
      <c r="AA396"/>
      <c r="AB396"/>
      <c r="AC396"/>
      <c r="AD396"/>
    </row>
    <row r="397" spans="23:30">
      <c r="W397"/>
      <c r="X397"/>
      <c r="Y397"/>
      <c r="Z397"/>
      <c r="AA397"/>
      <c r="AB397"/>
      <c r="AC397"/>
      <c r="AD397"/>
    </row>
    <row r="398" spans="23:30">
      <c r="W398"/>
      <c r="X398"/>
      <c r="Y398"/>
      <c r="Z398"/>
      <c r="AA398"/>
      <c r="AB398"/>
      <c r="AC398"/>
      <c r="AD398"/>
    </row>
    <row r="399" spans="23:30">
      <c r="W399"/>
      <c r="X399"/>
      <c r="Y399"/>
      <c r="Z399"/>
      <c r="AA399"/>
      <c r="AB399"/>
      <c r="AC399"/>
      <c r="AD399"/>
    </row>
    <row r="400" spans="23:30">
      <c r="W400"/>
      <c r="X400"/>
      <c r="Y400"/>
      <c r="Z400"/>
      <c r="AA400"/>
      <c r="AB400"/>
      <c r="AC400"/>
      <c r="AD400"/>
    </row>
    <row r="401" spans="23:30">
      <c r="W401"/>
      <c r="X401"/>
      <c r="Y401"/>
      <c r="Z401"/>
      <c r="AA401"/>
      <c r="AB401"/>
      <c r="AC401"/>
      <c r="AD401"/>
    </row>
    <row r="402" spans="23:30">
      <c r="W402"/>
      <c r="X402"/>
      <c r="Y402"/>
      <c r="Z402"/>
      <c r="AA402"/>
      <c r="AB402"/>
      <c r="AC402"/>
      <c r="AD402"/>
    </row>
    <row r="403" spans="23:30">
      <c r="W403"/>
      <c r="X403"/>
      <c r="Y403"/>
      <c r="Z403"/>
      <c r="AA403"/>
      <c r="AB403"/>
      <c r="AC403"/>
      <c r="AD403"/>
    </row>
    <row r="404" spans="23:30">
      <c r="W404"/>
      <c r="X404"/>
      <c r="Y404"/>
      <c r="Z404"/>
      <c r="AA404"/>
      <c r="AB404"/>
      <c r="AC404"/>
      <c r="AD404"/>
    </row>
    <row r="405" spans="23:30">
      <c r="W405"/>
      <c r="X405"/>
      <c r="Y405"/>
      <c r="Z405"/>
      <c r="AA405"/>
      <c r="AB405"/>
      <c r="AC405"/>
      <c r="AD405"/>
    </row>
    <row r="406" spans="23:30">
      <c r="W406"/>
      <c r="X406"/>
      <c r="Y406"/>
      <c r="Z406"/>
      <c r="AA406"/>
      <c r="AB406"/>
      <c r="AC406"/>
      <c r="AD406"/>
    </row>
    <row r="407" spans="23:30">
      <c r="W407"/>
      <c r="X407"/>
      <c r="Y407"/>
      <c r="Z407"/>
      <c r="AA407"/>
      <c r="AB407"/>
      <c r="AC407"/>
      <c r="AD407"/>
    </row>
    <row r="408" spans="23:30">
      <c r="W408"/>
      <c r="X408"/>
      <c r="Y408"/>
      <c r="Z408"/>
      <c r="AA408"/>
      <c r="AB408"/>
      <c r="AC408"/>
      <c r="AD408"/>
    </row>
    <row r="409" spans="23:30">
      <c r="W409"/>
      <c r="X409"/>
      <c r="Y409"/>
      <c r="Z409"/>
      <c r="AA409"/>
      <c r="AB409"/>
      <c r="AC409"/>
      <c r="AD409"/>
    </row>
    <row r="410" spans="23:30">
      <c r="W410"/>
      <c r="X410"/>
      <c r="Y410"/>
      <c r="Z410"/>
      <c r="AA410"/>
      <c r="AB410"/>
      <c r="AC410"/>
      <c r="AD410"/>
    </row>
    <row r="411" spans="23:30">
      <c r="W411"/>
      <c r="X411"/>
      <c r="Y411"/>
      <c r="Z411"/>
      <c r="AA411"/>
      <c r="AB411"/>
      <c r="AC411"/>
      <c r="AD411"/>
    </row>
    <row r="412" spans="23:30">
      <c r="W412"/>
      <c r="X412"/>
      <c r="Y412"/>
      <c r="Z412"/>
      <c r="AA412"/>
      <c r="AB412"/>
      <c r="AC412"/>
      <c r="AD412"/>
    </row>
    <row r="413" spans="23:30">
      <c r="W413"/>
      <c r="X413"/>
      <c r="Y413"/>
      <c r="Z413"/>
      <c r="AA413"/>
      <c r="AB413"/>
      <c r="AC413"/>
      <c r="AD413"/>
    </row>
    <row r="414" spans="23:30">
      <c r="W414"/>
      <c r="X414"/>
      <c r="Y414"/>
      <c r="Z414"/>
      <c r="AA414"/>
      <c r="AB414"/>
      <c r="AC414"/>
      <c r="AD414"/>
    </row>
    <row r="415" spans="23:30">
      <c r="W415"/>
      <c r="X415"/>
      <c r="Y415"/>
      <c r="Z415"/>
      <c r="AA415"/>
      <c r="AB415"/>
      <c r="AC415"/>
      <c r="AD415"/>
    </row>
    <row r="416" spans="23:30">
      <c r="W416"/>
      <c r="X416"/>
      <c r="Y416"/>
      <c r="Z416"/>
      <c r="AA416"/>
      <c r="AB416"/>
      <c r="AC416"/>
      <c r="AD416"/>
    </row>
    <row r="417" spans="23:30">
      <c r="W417"/>
      <c r="X417"/>
      <c r="Y417"/>
      <c r="Z417"/>
      <c r="AA417"/>
      <c r="AB417"/>
      <c r="AC417"/>
      <c r="AD417"/>
    </row>
    <row r="418" spans="23:30">
      <c r="W418"/>
      <c r="X418"/>
      <c r="Y418"/>
      <c r="Z418"/>
      <c r="AA418"/>
      <c r="AB418"/>
      <c r="AC418"/>
      <c r="AD418"/>
    </row>
    <row r="419" spans="23:30">
      <c r="W419"/>
      <c r="X419"/>
      <c r="Y419"/>
      <c r="Z419"/>
      <c r="AA419"/>
      <c r="AB419"/>
      <c r="AC419"/>
      <c r="AD419"/>
    </row>
    <row r="420" spans="23:30">
      <c r="W420"/>
      <c r="X420"/>
      <c r="Y420"/>
      <c r="Z420"/>
      <c r="AA420"/>
      <c r="AB420"/>
      <c r="AC420"/>
      <c r="AD420"/>
    </row>
    <row r="421" spans="23:30">
      <c r="W421"/>
      <c r="X421"/>
      <c r="Y421"/>
      <c r="Z421"/>
      <c r="AA421"/>
      <c r="AB421"/>
      <c r="AC421"/>
      <c r="AD421"/>
    </row>
    <row r="422" spans="23:30">
      <c r="W422"/>
      <c r="X422"/>
      <c r="Y422"/>
      <c r="Z422"/>
      <c r="AA422"/>
      <c r="AB422"/>
      <c r="AC422"/>
      <c r="AD422"/>
    </row>
    <row r="423" spans="23:30">
      <c r="W423"/>
      <c r="X423"/>
      <c r="Y423"/>
      <c r="Z423"/>
      <c r="AA423"/>
      <c r="AB423"/>
      <c r="AC423"/>
      <c r="AD423"/>
    </row>
  </sheetData>
  <mergeCells count="150">
    <mergeCell ref="C64:C65"/>
    <mergeCell ref="D64:F64"/>
    <mergeCell ref="G64:I65"/>
    <mergeCell ref="J64:L64"/>
    <mergeCell ref="M64:P65"/>
    <mergeCell ref="D65:F65"/>
    <mergeCell ref="J65:L65"/>
    <mergeCell ref="C62:C63"/>
    <mergeCell ref="D62:F62"/>
    <mergeCell ref="G62:I63"/>
    <mergeCell ref="J62:L62"/>
    <mergeCell ref="M62:P63"/>
    <mergeCell ref="D63:F63"/>
    <mergeCell ref="J63:L63"/>
    <mergeCell ref="C60:C61"/>
    <mergeCell ref="D60:F60"/>
    <mergeCell ref="G60:I61"/>
    <mergeCell ref="J60:L60"/>
    <mergeCell ref="M60:P61"/>
    <mergeCell ref="D61:F61"/>
    <mergeCell ref="J61:L61"/>
    <mergeCell ref="C58:C59"/>
    <mergeCell ref="D58:F58"/>
    <mergeCell ref="G58:I59"/>
    <mergeCell ref="J58:L58"/>
    <mergeCell ref="M58:P59"/>
    <mergeCell ref="D59:F59"/>
    <mergeCell ref="J59:L59"/>
    <mergeCell ref="C56:C57"/>
    <mergeCell ref="D56:F56"/>
    <mergeCell ref="G56:I57"/>
    <mergeCell ref="J56:L56"/>
    <mergeCell ref="M56:P57"/>
    <mergeCell ref="D57:F57"/>
    <mergeCell ref="J57:L57"/>
    <mergeCell ref="C54:C55"/>
    <mergeCell ref="D54:F54"/>
    <mergeCell ref="G54:I55"/>
    <mergeCell ref="J54:L54"/>
    <mergeCell ref="M54:P55"/>
    <mergeCell ref="D55:F55"/>
    <mergeCell ref="J55:L55"/>
    <mergeCell ref="C52:C53"/>
    <mergeCell ref="D52:F52"/>
    <mergeCell ref="G52:I53"/>
    <mergeCell ref="J52:L52"/>
    <mergeCell ref="M52:P53"/>
    <mergeCell ref="D53:F53"/>
    <mergeCell ref="J53:L53"/>
    <mergeCell ref="C50:C51"/>
    <mergeCell ref="D50:F50"/>
    <mergeCell ref="G50:I51"/>
    <mergeCell ref="J50:L50"/>
    <mergeCell ref="M50:P51"/>
    <mergeCell ref="D51:F51"/>
    <mergeCell ref="J51:L51"/>
    <mergeCell ref="C48:C49"/>
    <mergeCell ref="D48:F48"/>
    <mergeCell ref="G48:I49"/>
    <mergeCell ref="J48:L48"/>
    <mergeCell ref="M48:P49"/>
    <mergeCell ref="D49:F49"/>
    <mergeCell ref="J49:L49"/>
    <mergeCell ref="C46:C47"/>
    <mergeCell ref="D46:F46"/>
    <mergeCell ref="G46:I47"/>
    <mergeCell ref="J46:L46"/>
    <mergeCell ref="M46:P47"/>
    <mergeCell ref="D47:F47"/>
    <mergeCell ref="J47:L47"/>
    <mergeCell ref="C44:C45"/>
    <mergeCell ref="D44:F44"/>
    <mergeCell ref="G44:I45"/>
    <mergeCell ref="J44:L44"/>
    <mergeCell ref="M44:P45"/>
    <mergeCell ref="D45:F45"/>
    <mergeCell ref="J45:L45"/>
    <mergeCell ref="C42:C43"/>
    <mergeCell ref="D42:F42"/>
    <mergeCell ref="G42:I43"/>
    <mergeCell ref="J42:L42"/>
    <mergeCell ref="M42:P43"/>
    <mergeCell ref="D43:F43"/>
    <mergeCell ref="J43:L43"/>
    <mergeCell ref="C40:C41"/>
    <mergeCell ref="D40:F40"/>
    <mergeCell ref="G40:I41"/>
    <mergeCell ref="J40:L40"/>
    <mergeCell ref="M40:P41"/>
    <mergeCell ref="D41:F41"/>
    <mergeCell ref="J41:L41"/>
    <mergeCell ref="C38:C39"/>
    <mergeCell ref="D38:F38"/>
    <mergeCell ref="G38:I39"/>
    <mergeCell ref="J38:L38"/>
    <mergeCell ref="M38:P39"/>
    <mergeCell ref="D39:F39"/>
    <mergeCell ref="J39:L39"/>
    <mergeCell ref="C36:C37"/>
    <mergeCell ref="D36:F36"/>
    <mergeCell ref="G36:I37"/>
    <mergeCell ref="J36:L36"/>
    <mergeCell ref="M36:P37"/>
    <mergeCell ref="D37:F37"/>
    <mergeCell ref="J37:L37"/>
    <mergeCell ref="C34:C35"/>
    <mergeCell ref="D34:F34"/>
    <mergeCell ref="G34:I35"/>
    <mergeCell ref="J34:L34"/>
    <mergeCell ref="M34:P35"/>
    <mergeCell ref="D35:F35"/>
    <mergeCell ref="J35:L35"/>
    <mergeCell ref="C32:C33"/>
    <mergeCell ref="D32:F32"/>
    <mergeCell ref="G32:I33"/>
    <mergeCell ref="J32:L32"/>
    <mergeCell ref="M32:P33"/>
    <mergeCell ref="D33:F33"/>
    <mergeCell ref="J33:L33"/>
    <mergeCell ref="M30:P31"/>
    <mergeCell ref="C20:E20"/>
    <mergeCell ref="F20:H20"/>
    <mergeCell ref="C21:E21"/>
    <mergeCell ref="F21:H21"/>
    <mergeCell ref="C22:E22"/>
    <mergeCell ref="F22:H22"/>
    <mergeCell ref="C23:E23"/>
    <mergeCell ref="F23:H23"/>
    <mergeCell ref="C30:F31"/>
    <mergeCell ref="G30:I31"/>
    <mergeCell ref="J30:L31"/>
    <mergeCell ref="C12:D12"/>
    <mergeCell ref="E12:G12"/>
    <mergeCell ref="C17:E18"/>
    <mergeCell ref="F17:H18"/>
    <mergeCell ref="C19:E19"/>
    <mergeCell ref="F19:H19"/>
    <mergeCell ref="C9:D9"/>
    <mergeCell ref="E9:G9"/>
    <mergeCell ref="C10:D10"/>
    <mergeCell ref="E10:G10"/>
    <mergeCell ref="C11:D11"/>
    <mergeCell ref="E11:G11"/>
    <mergeCell ref="C8:D8"/>
    <mergeCell ref="E8:G8"/>
    <mergeCell ref="C5:D6"/>
    <mergeCell ref="E5:G6"/>
    <mergeCell ref="H5:O5"/>
    <mergeCell ref="C7:D7"/>
    <mergeCell ref="E7:G7"/>
  </mergeCells>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9CDF8-BA63-6F4A-B6A9-ED81CED69E0E}">
  <dimension ref="A1:AT293"/>
  <sheetViews>
    <sheetView zoomScale="87" zoomScaleNormal="90" workbookViewId="0">
      <selection activeCell="I37" sqref="I37"/>
    </sheetView>
  </sheetViews>
  <sheetFormatPr baseColWidth="10" defaultColWidth="14" defaultRowHeight="16"/>
  <cols>
    <col min="1" max="2" width="5" style="68" customWidth="1"/>
    <col min="3" max="3" width="20.5" style="66" customWidth="1"/>
    <col min="4" max="4" width="14" style="68"/>
    <col min="5" max="5" width="14.1640625" style="66" bestFit="1" customWidth="1"/>
    <col min="6" max="6" width="16.33203125" style="66" bestFit="1" customWidth="1"/>
    <col min="7" max="7" width="35.33203125" style="66" bestFit="1" customWidth="1"/>
    <col min="8" max="8" width="18.33203125" style="66" customWidth="1"/>
    <col min="9" max="9" width="71" style="66" bestFit="1" customWidth="1"/>
    <col min="10" max="10" width="22.6640625" style="66" customWidth="1"/>
    <col min="11" max="11" width="18.83203125" style="66" customWidth="1"/>
    <col min="12" max="12" width="14.1640625" style="66" bestFit="1" customWidth="1"/>
    <col min="13" max="18" width="14" style="66"/>
    <col min="19" max="19" width="14.1640625" style="66" bestFit="1" customWidth="1"/>
    <col min="20" max="20" width="16.33203125" style="66" bestFit="1" customWidth="1"/>
    <col min="21" max="21" width="15.1640625" style="66" bestFit="1" customWidth="1"/>
    <col min="22" max="26" width="14.1640625" style="66" bestFit="1" customWidth="1"/>
    <col min="27" max="38" width="14" style="66"/>
    <col min="39" max="39" width="14.1640625" style="66" bestFit="1" customWidth="1"/>
    <col min="40" max="40" width="16.33203125" style="66" bestFit="1" customWidth="1"/>
    <col min="41" max="41" width="15.1640625" style="66" bestFit="1" customWidth="1"/>
    <col min="42" max="46" width="14.1640625" style="66" bestFit="1" customWidth="1"/>
    <col min="47" max="16384" width="14" style="66"/>
  </cols>
  <sheetData>
    <row r="1" spans="1:21" s="2" customFormat="1" ht="20.25" customHeight="1">
      <c r="A1" s="69" t="s">
        <v>34</v>
      </c>
      <c r="B1" s="1"/>
      <c r="D1" s="3" t="s">
        <v>35</v>
      </c>
      <c r="E1" s="4"/>
      <c r="F1" s="4"/>
      <c r="G1" s="4"/>
      <c r="H1" s="4"/>
      <c r="I1" s="4"/>
      <c r="J1" s="4"/>
      <c r="K1" s="4"/>
      <c r="L1" s="4"/>
      <c r="M1" s="4"/>
      <c r="N1" s="4"/>
      <c r="O1" s="4"/>
      <c r="P1" s="4"/>
      <c r="Q1" s="4"/>
      <c r="R1" s="75"/>
    </row>
    <row r="2" spans="1:21" ht="20.25" customHeight="1">
      <c r="A2" s="76"/>
      <c r="B2" s="247"/>
      <c r="C2" s="248"/>
      <c r="D2" s="247"/>
      <c r="E2" s="248"/>
      <c r="F2" s="248"/>
      <c r="G2" s="248"/>
      <c r="H2" s="248"/>
      <c r="I2" s="248"/>
      <c r="J2" s="248"/>
      <c r="K2" s="248"/>
      <c r="L2" s="248"/>
      <c r="M2" s="248"/>
      <c r="N2" s="248"/>
      <c r="O2" s="248"/>
      <c r="P2" s="248"/>
      <c r="Q2" s="248"/>
      <c r="R2" s="248"/>
    </row>
    <row r="3" spans="1:21" ht="20.25" customHeight="1">
      <c r="A3" s="76"/>
      <c r="B3" s="247"/>
      <c r="C3" s="255" t="s">
        <v>94</v>
      </c>
      <c r="D3" s="256"/>
      <c r="E3" s="257"/>
      <c r="F3" s="258"/>
      <c r="G3" s="258"/>
      <c r="H3" s="258"/>
      <c r="I3" s="258"/>
      <c r="J3" s="258"/>
      <c r="K3" s="258"/>
      <c r="L3" s="258"/>
      <c r="M3" s="258"/>
      <c r="N3" s="258"/>
      <c r="O3" s="258"/>
      <c r="P3" s="258"/>
      <c r="Q3" s="258"/>
      <c r="R3" s="258"/>
      <c r="S3" s="256"/>
      <c r="T3" s="256"/>
      <c r="U3" s="259"/>
    </row>
    <row r="4" spans="1:21" ht="20.25" customHeight="1">
      <c r="A4" s="76"/>
      <c r="B4" s="247"/>
      <c r="C4" s="260" t="s">
        <v>95</v>
      </c>
      <c r="D4" s="250"/>
      <c r="E4" s="248"/>
      <c r="F4" s="248"/>
      <c r="G4" s="248"/>
      <c r="H4" s="248"/>
      <c r="I4" s="248"/>
      <c r="J4" s="248"/>
      <c r="K4" s="248"/>
      <c r="L4" s="248"/>
      <c r="M4" s="248"/>
      <c r="N4" s="248"/>
      <c r="O4" s="248"/>
      <c r="P4" s="248"/>
      <c r="Q4" s="248"/>
      <c r="R4" s="248"/>
      <c r="S4" s="249"/>
      <c r="T4" s="249"/>
      <c r="U4" s="261"/>
    </row>
    <row r="5" spans="1:21" s="87" customFormat="1" ht="20.25" customHeight="1">
      <c r="A5" s="86"/>
      <c r="B5" s="251"/>
      <c r="C5" s="262" t="s">
        <v>115</v>
      </c>
      <c r="D5" s="253" t="s">
        <v>116</v>
      </c>
      <c r="E5" s="252" t="s">
        <v>96</v>
      </c>
      <c r="F5" s="252" t="s">
        <v>97</v>
      </c>
      <c r="G5" s="252" t="s">
        <v>98</v>
      </c>
      <c r="H5" s="252" t="s">
        <v>99</v>
      </c>
      <c r="I5" s="252" t="s">
        <v>100</v>
      </c>
      <c r="J5" s="252" t="s">
        <v>101</v>
      </c>
      <c r="K5" s="252" t="s">
        <v>102</v>
      </c>
      <c r="L5" s="252" t="s">
        <v>142</v>
      </c>
      <c r="M5" s="252" t="s">
        <v>143</v>
      </c>
      <c r="N5" s="252" t="s">
        <v>144</v>
      </c>
      <c r="O5" s="252" t="s">
        <v>145</v>
      </c>
      <c r="P5" s="252" t="s">
        <v>146</v>
      </c>
      <c r="Q5" s="254" t="s">
        <v>147</v>
      </c>
      <c r="R5" s="251" t="s">
        <v>148</v>
      </c>
      <c r="S5" s="254" t="s">
        <v>149</v>
      </c>
      <c r="T5" s="254" t="s">
        <v>150</v>
      </c>
      <c r="U5" s="263" t="s">
        <v>151</v>
      </c>
    </row>
    <row r="6" spans="1:21" s="87" customFormat="1" ht="20.25" customHeight="1">
      <c r="A6" s="86"/>
      <c r="B6" s="251"/>
      <c r="C6" s="369" t="s">
        <v>176</v>
      </c>
      <c r="D6" s="253" t="s">
        <v>116</v>
      </c>
      <c r="E6" s="192">
        <v>-31115.144865709535</v>
      </c>
      <c r="F6" s="192">
        <v>279.22610835038478</v>
      </c>
      <c r="G6" s="380" t="s">
        <v>74</v>
      </c>
      <c r="H6" s="192">
        <v>156.68447000280199</v>
      </c>
      <c r="I6" s="380" t="s">
        <v>76</v>
      </c>
      <c r="J6" s="192">
        <v>-1921.9914247620227</v>
      </c>
      <c r="K6" s="380" t="s">
        <v>78</v>
      </c>
      <c r="L6" s="192">
        <v>3.2210388846643014</v>
      </c>
      <c r="M6" s="380" t="s">
        <v>81</v>
      </c>
      <c r="N6" s="192">
        <v>2491.5545574880985</v>
      </c>
      <c r="O6" s="380" t="s">
        <v>9</v>
      </c>
      <c r="P6" s="192">
        <v>1693.8859256350627</v>
      </c>
      <c r="Q6" s="380" t="s">
        <v>8</v>
      </c>
      <c r="R6" s="192">
        <v>-2395.9205000966545</v>
      </c>
      <c r="S6" s="380" t="s">
        <v>6</v>
      </c>
      <c r="T6" s="192">
        <v>7407.9362065765699</v>
      </c>
      <c r="U6" s="381" t="s">
        <v>10</v>
      </c>
    </row>
    <row r="7" spans="1:21" s="87" customFormat="1" ht="20.25" customHeight="1">
      <c r="A7" s="86"/>
      <c r="B7" s="254"/>
      <c r="C7" s="264"/>
      <c r="D7" s="254"/>
      <c r="E7" s="254"/>
      <c r="F7" s="254"/>
      <c r="G7" s="254"/>
      <c r="H7" s="254"/>
      <c r="I7" s="254"/>
      <c r="J7" s="254"/>
      <c r="K7" s="254"/>
      <c r="L7" s="254"/>
      <c r="M7" s="254"/>
      <c r="N7" s="254"/>
      <c r="O7" s="254"/>
      <c r="P7" s="254"/>
      <c r="Q7" s="254"/>
      <c r="R7" s="254"/>
      <c r="S7" s="254"/>
      <c r="T7" s="254"/>
      <c r="U7" s="263"/>
    </row>
    <row r="8" spans="1:21" s="87" customFormat="1" ht="20.25" customHeight="1">
      <c r="A8" s="86"/>
      <c r="B8" s="254"/>
      <c r="C8" s="264"/>
      <c r="D8" s="254"/>
      <c r="E8" s="254"/>
      <c r="F8" s="254"/>
      <c r="G8" s="254"/>
      <c r="H8" s="254"/>
      <c r="I8" s="254"/>
      <c r="J8" s="254"/>
      <c r="K8" s="254"/>
      <c r="L8" s="254"/>
      <c r="M8" s="254"/>
      <c r="N8" s="254"/>
      <c r="O8" s="254"/>
      <c r="P8" s="254"/>
      <c r="Q8" s="254"/>
      <c r="R8" s="254"/>
      <c r="S8" s="254"/>
      <c r="T8" s="254"/>
      <c r="U8" s="263"/>
    </row>
    <row r="9" spans="1:21" s="87" customFormat="1" ht="20.25" customHeight="1">
      <c r="A9" s="86"/>
      <c r="B9" s="254"/>
      <c r="C9" s="264"/>
      <c r="D9" s="254"/>
      <c r="E9" s="254"/>
      <c r="F9" s="254"/>
      <c r="G9" s="254"/>
      <c r="H9" s="254"/>
      <c r="I9" s="254"/>
      <c r="J9" s="254"/>
      <c r="K9" s="254"/>
      <c r="L9" s="254"/>
      <c r="M9" s="254"/>
      <c r="N9" s="254"/>
      <c r="O9" s="254"/>
      <c r="P9" s="254"/>
      <c r="Q9" s="254"/>
      <c r="R9" s="254"/>
      <c r="S9" s="254"/>
      <c r="T9" s="254"/>
      <c r="U9" s="263"/>
    </row>
    <row r="10" spans="1:21" s="87" customFormat="1" ht="20.25" customHeight="1">
      <c r="A10" s="86"/>
      <c r="B10" s="254"/>
      <c r="C10" s="264"/>
      <c r="D10" s="254"/>
      <c r="E10" s="254"/>
      <c r="F10" s="254"/>
      <c r="G10" s="254"/>
      <c r="H10" s="254"/>
      <c r="I10" s="254"/>
      <c r="J10" s="254"/>
      <c r="K10" s="254"/>
      <c r="L10" s="254"/>
      <c r="M10" s="254"/>
      <c r="N10" s="254"/>
      <c r="O10" s="254"/>
      <c r="P10" s="254"/>
      <c r="Q10" s="254"/>
      <c r="R10" s="254"/>
      <c r="S10" s="254"/>
      <c r="T10" s="254"/>
      <c r="U10" s="263"/>
    </row>
    <row r="11" spans="1:21" s="87" customFormat="1" ht="20.25" customHeight="1">
      <c r="A11" s="86"/>
      <c r="B11" s="254"/>
      <c r="C11" s="264"/>
      <c r="D11" s="254"/>
      <c r="E11" s="254"/>
      <c r="F11" s="373" t="s">
        <v>177</v>
      </c>
      <c r="G11" s="373" t="s">
        <v>209</v>
      </c>
      <c r="H11" s="373" t="s">
        <v>161</v>
      </c>
      <c r="I11" s="373" t="s">
        <v>178</v>
      </c>
      <c r="J11" s="254"/>
      <c r="K11" s="254"/>
      <c r="L11" s="254"/>
      <c r="M11" s="254"/>
      <c r="N11" s="254"/>
      <c r="O11" s="254"/>
      <c r="P11" s="254"/>
      <c r="Q11" s="254"/>
      <c r="R11" s="254"/>
      <c r="S11" s="254"/>
      <c r="T11" s="254"/>
      <c r="U11" s="263"/>
    </row>
    <row r="12" spans="1:21" s="87" customFormat="1" ht="20.25" customHeight="1">
      <c r="A12" s="86"/>
      <c r="B12" s="254"/>
      <c r="C12" s="264"/>
      <c r="D12" s="254"/>
      <c r="E12" s="254"/>
      <c r="F12" s="374" t="s">
        <v>179</v>
      </c>
      <c r="G12" s="374" t="s">
        <v>180</v>
      </c>
      <c r="H12" s="378" t="s">
        <v>181</v>
      </c>
      <c r="I12" s="374" t="s">
        <v>182</v>
      </c>
      <c r="J12" s="254"/>
      <c r="K12" s="254"/>
      <c r="L12" s="254"/>
      <c r="M12" s="254"/>
      <c r="N12" s="254"/>
      <c r="O12" s="254"/>
      <c r="P12" s="254"/>
      <c r="Q12" s="254"/>
      <c r="R12" s="254"/>
      <c r="S12" s="254"/>
      <c r="T12" s="254"/>
      <c r="U12" s="263"/>
    </row>
    <row r="13" spans="1:21" s="87" customFormat="1" ht="20.25" customHeight="1">
      <c r="A13" s="86"/>
      <c r="B13" s="254"/>
      <c r="C13" s="264"/>
      <c r="D13" s="254"/>
      <c r="E13" s="254"/>
      <c r="F13" s="374" t="s">
        <v>183</v>
      </c>
      <c r="G13" s="374" t="s">
        <v>184</v>
      </c>
      <c r="H13" s="379">
        <v>-31115.14</v>
      </c>
      <c r="I13" s="374" t="s">
        <v>185</v>
      </c>
      <c r="J13" s="254"/>
      <c r="K13" s="254"/>
      <c r="L13" s="254"/>
      <c r="M13" s="254"/>
      <c r="N13" s="254"/>
      <c r="O13" s="254"/>
      <c r="P13" s="254"/>
      <c r="Q13" s="254"/>
      <c r="R13" s="254"/>
      <c r="S13" s="254"/>
      <c r="T13" s="254"/>
      <c r="U13" s="263"/>
    </row>
    <row r="14" spans="1:21" s="87" customFormat="1" ht="20.25" customHeight="1">
      <c r="A14" s="86"/>
      <c r="B14" s="254"/>
      <c r="C14" s="264"/>
      <c r="D14" s="254"/>
      <c r="E14" s="254"/>
      <c r="F14" s="374" t="s">
        <v>186</v>
      </c>
      <c r="G14" s="374" t="s">
        <v>187</v>
      </c>
      <c r="H14" s="378">
        <v>279.23</v>
      </c>
      <c r="I14" s="374" t="s">
        <v>188</v>
      </c>
      <c r="J14" s="254"/>
      <c r="K14" s="254"/>
      <c r="L14" s="254"/>
      <c r="M14" s="254"/>
      <c r="N14" s="254"/>
      <c r="O14" s="254"/>
      <c r="P14" s="254"/>
      <c r="Q14" s="254"/>
      <c r="R14" s="254"/>
      <c r="S14" s="254"/>
      <c r="T14" s="254"/>
      <c r="U14" s="263"/>
    </row>
    <row r="15" spans="1:21" s="87" customFormat="1" ht="20.25" customHeight="1">
      <c r="A15" s="86"/>
      <c r="B15" s="254"/>
      <c r="C15" s="264"/>
      <c r="D15" s="254"/>
      <c r="E15" s="254"/>
      <c r="F15" s="374" t="s">
        <v>189</v>
      </c>
      <c r="G15" s="374" t="s">
        <v>190</v>
      </c>
      <c r="H15" s="378">
        <v>156.68</v>
      </c>
      <c r="I15" s="374" t="s">
        <v>191</v>
      </c>
      <c r="J15" s="254"/>
      <c r="K15" s="254"/>
      <c r="L15" s="254"/>
      <c r="M15" s="254"/>
      <c r="N15" s="254"/>
      <c r="O15" s="254"/>
      <c r="P15" s="254"/>
      <c r="Q15" s="254"/>
      <c r="R15" s="254"/>
      <c r="S15" s="254"/>
      <c r="T15" s="254"/>
      <c r="U15" s="263"/>
    </row>
    <row r="16" spans="1:21" s="87" customFormat="1" ht="20.25" customHeight="1">
      <c r="A16" s="86"/>
      <c r="B16" s="254"/>
      <c r="C16" s="264"/>
      <c r="D16" s="254"/>
      <c r="E16" s="254"/>
      <c r="F16" s="374" t="s">
        <v>192</v>
      </c>
      <c r="G16" s="374" t="s">
        <v>78</v>
      </c>
      <c r="H16" s="379">
        <v>-1921.99</v>
      </c>
      <c r="I16" s="374" t="s">
        <v>193</v>
      </c>
      <c r="J16" s="254"/>
      <c r="K16" s="254"/>
      <c r="L16" s="254"/>
      <c r="M16" s="254"/>
      <c r="N16" s="254"/>
      <c r="O16" s="254"/>
      <c r="P16" s="254"/>
      <c r="Q16" s="254"/>
      <c r="R16" s="254"/>
      <c r="S16" s="254"/>
      <c r="T16" s="254"/>
      <c r="U16" s="263"/>
    </row>
    <row r="17" spans="1:21" s="87" customFormat="1" ht="20.25" customHeight="1">
      <c r="A17" s="86"/>
      <c r="B17" s="254"/>
      <c r="C17" s="264"/>
      <c r="D17" s="254"/>
      <c r="E17" s="254"/>
      <c r="F17" s="374" t="s">
        <v>194</v>
      </c>
      <c r="G17" s="374" t="s">
        <v>195</v>
      </c>
      <c r="H17" s="378">
        <v>3.22</v>
      </c>
      <c r="I17" s="374" t="s">
        <v>196</v>
      </c>
      <c r="J17" s="254"/>
      <c r="K17" s="254"/>
      <c r="L17" s="254"/>
      <c r="M17" s="254"/>
      <c r="N17" s="254"/>
      <c r="O17" s="254"/>
      <c r="P17" s="254"/>
      <c r="Q17" s="254"/>
      <c r="R17" s="254"/>
      <c r="S17" s="254"/>
      <c r="T17" s="254"/>
      <c r="U17" s="263"/>
    </row>
    <row r="18" spans="1:21" s="87" customFormat="1" ht="20.25" customHeight="1">
      <c r="A18" s="86"/>
      <c r="B18" s="254"/>
      <c r="C18" s="264"/>
      <c r="D18" s="254"/>
      <c r="E18" s="254"/>
      <c r="F18" s="374" t="s">
        <v>197</v>
      </c>
      <c r="G18" s="374" t="s">
        <v>198</v>
      </c>
      <c r="H18" s="379">
        <v>2491.5500000000002</v>
      </c>
      <c r="I18" s="374" t="s">
        <v>199</v>
      </c>
      <c r="J18" s="254"/>
      <c r="K18" s="254"/>
      <c r="L18" s="254"/>
      <c r="M18" s="254"/>
      <c r="N18" s="254"/>
      <c r="O18" s="254"/>
      <c r="P18" s="254"/>
      <c r="Q18" s="254"/>
      <c r="R18" s="254"/>
      <c r="S18" s="254"/>
      <c r="T18" s="254"/>
      <c r="U18" s="263"/>
    </row>
    <row r="19" spans="1:21" s="87" customFormat="1" ht="20.25" customHeight="1">
      <c r="A19" s="86"/>
      <c r="B19" s="254"/>
      <c r="C19" s="264"/>
      <c r="D19" s="254"/>
      <c r="E19" s="254"/>
      <c r="F19" s="374" t="s">
        <v>200</v>
      </c>
      <c r="G19" s="374" t="s">
        <v>201</v>
      </c>
      <c r="H19" s="379">
        <v>1693.89</v>
      </c>
      <c r="I19" s="374" t="s">
        <v>202</v>
      </c>
      <c r="J19" s="254"/>
      <c r="K19" s="254"/>
      <c r="L19" s="254"/>
      <c r="M19" s="254"/>
      <c r="N19" s="254"/>
      <c r="O19" s="254"/>
      <c r="P19" s="254"/>
      <c r="Q19" s="254"/>
      <c r="R19" s="254"/>
      <c r="S19" s="254"/>
      <c r="T19" s="254"/>
      <c r="U19" s="263"/>
    </row>
    <row r="20" spans="1:21" s="87" customFormat="1" ht="20.25" customHeight="1">
      <c r="A20" s="86"/>
      <c r="B20" s="254"/>
      <c r="C20" s="264"/>
      <c r="D20" s="254"/>
      <c r="E20" s="254"/>
      <c r="F20" s="374" t="s">
        <v>203</v>
      </c>
      <c r="G20" s="374" t="s">
        <v>204</v>
      </c>
      <c r="H20" s="379">
        <v>-2395.92</v>
      </c>
      <c r="I20" s="374" t="s">
        <v>205</v>
      </c>
      <c r="J20" s="254"/>
      <c r="K20" s="254"/>
      <c r="L20" s="254"/>
      <c r="M20" s="254"/>
      <c r="N20" s="254"/>
      <c r="O20" s="254"/>
      <c r="P20" s="254"/>
      <c r="Q20" s="254"/>
      <c r="R20" s="254"/>
      <c r="S20" s="254"/>
      <c r="T20" s="254"/>
      <c r="U20" s="263"/>
    </row>
    <row r="21" spans="1:21" s="87" customFormat="1" ht="20.25" customHeight="1">
      <c r="A21" s="86"/>
      <c r="B21" s="254"/>
      <c r="C21" s="264"/>
      <c r="D21" s="254"/>
      <c r="E21" s="254"/>
      <c r="F21" s="374" t="s">
        <v>206</v>
      </c>
      <c r="G21" s="374" t="s">
        <v>207</v>
      </c>
      <c r="H21" s="379">
        <v>7407.94</v>
      </c>
      <c r="I21" s="374" t="s">
        <v>208</v>
      </c>
      <c r="J21" s="254"/>
      <c r="K21" s="254"/>
      <c r="L21" s="254"/>
      <c r="M21" s="254"/>
      <c r="N21" s="254"/>
      <c r="O21" s="254"/>
      <c r="P21" s="254"/>
      <c r="Q21" s="254"/>
      <c r="R21" s="254"/>
      <c r="S21" s="254"/>
      <c r="T21" s="254"/>
      <c r="U21" s="263"/>
    </row>
    <row r="22" spans="1:21" s="87" customFormat="1" ht="20.25" customHeight="1">
      <c r="A22" s="86"/>
      <c r="B22" s="254"/>
      <c r="C22" s="264"/>
      <c r="D22" s="254"/>
      <c r="E22" s="254"/>
      <c r="F22" s="254"/>
      <c r="G22" s="254"/>
      <c r="H22" s="254"/>
      <c r="I22" s="254"/>
      <c r="J22" s="254"/>
      <c r="K22" s="254"/>
      <c r="L22" s="254"/>
      <c r="M22" s="254"/>
      <c r="N22" s="254"/>
      <c r="O22" s="254"/>
      <c r="P22" s="254"/>
      <c r="Q22" s="254"/>
      <c r="R22" s="254"/>
      <c r="S22" s="254"/>
      <c r="T22" s="254"/>
      <c r="U22" s="263"/>
    </row>
    <row r="23" spans="1:21" s="87" customFormat="1" ht="20.25" customHeight="1">
      <c r="A23" s="86"/>
      <c r="B23" s="254"/>
      <c r="C23" s="264"/>
      <c r="D23" s="254"/>
      <c r="E23" s="254"/>
      <c r="F23" s="254"/>
      <c r="G23" s="254"/>
      <c r="H23" s="254"/>
      <c r="I23" s="254"/>
      <c r="J23" s="254"/>
      <c r="K23" s="254"/>
      <c r="L23" s="254"/>
      <c r="M23" s="254"/>
      <c r="N23" s="254"/>
      <c r="O23" s="254"/>
      <c r="P23" s="254"/>
      <c r="Q23" s="254"/>
      <c r="R23" s="254"/>
      <c r="S23" s="254"/>
      <c r="T23" s="254"/>
      <c r="U23" s="263"/>
    </row>
    <row r="24" spans="1:21" s="87" customFormat="1" ht="20.25" customHeight="1">
      <c r="A24" s="86"/>
      <c r="B24" s="254"/>
      <c r="C24" s="375"/>
      <c r="D24" s="376"/>
      <c r="E24" s="376"/>
      <c r="F24" s="376"/>
      <c r="G24" s="376"/>
      <c r="H24" s="376"/>
      <c r="I24" s="376"/>
      <c r="J24" s="376"/>
      <c r="K24" s="376"/>
      <c r="L24" s="376"/>
      <c r="M24" s="376"/>
      <c r="N24" s="376"/>
      <c r="O24" s="376"/>
      <c r="P24" s="376"/>
      <c r="Q24" s="376"/>
      <c r="R24" s="376"/>
      <c r="S24" s="376"/>
      <c r="T24" s="376"/>
      <c r="U24" s="377"/>
    </row>
    <row r="25" spans="1:21" ht="20.25" customHeight="1">
      <c r="A25" s="86"/>
      <c r="B25" s="76"/>
      <c r="C25" s="265"/>
      <c r="D25" s="266"/>
      <c r="E25" s="267"/>
      <c r="F25" s="267"/>
      <c r="G25" s="267"/>
      <c r="H25" s="267"/>
      <c r="I25" s="267"/>
      <c r="J25" s="267"/>
      <c r="K25" s="267"/>
      <c r="L25" s="267"/>
      <c r="M25" s="267"/>
      <c r="N25" s="267"/>
      <c r="O25" s="267"/>
      <c r="P25" s="267"/>
      <c r="Q25" s="267"/>
      <c r="R25" s="267"/>
      <c r="S25" s="268"/>
      <c r="T25" s="268"/>
      <c r="U25" s="269"/>
    </row>
    <row r="26" spans="1:21" ht="20.25" customHeight="1" thickBot="1">
      <c r="A26" s="69" t="s">
        <v>103</v>
      </c>
      <c r="B26" s="1"/>
      <c r="C26" s="10"/>
      <c r="D26" s="3" t="s">
        <v>35</v>
      </c>
      <c r="E26" s="4"/>
      <c r="F26" s="4"/>
      <c r="G26" s="4"/>
      <c r="H26" s="4"/>
      <c r="I26" s="4"/>
      <c r="J26" s="4"/>
      <c r="K26" s="4"/>
      <c r="L26" s="4"/>
      <c r="M26" s="4"/>
      <c r="N26" s="4"/>
      <c r="O26" s="4"/>
      <c r="P26" s="4"/>
      <c r="Q26" s="4"/>
      <c r="R26" s="75"/>
    </row>
    <row r="27" spans="1:21" ht="20.25" customHeight="1">
      <c r="B27" s="77"/>
      <c r="C27" s="78"/>
      <c r="D27" s="78"/>
      <c r="E27" s="78"/>
      <c r="F27" s="78"/>
      <c r="G27" s="78"/>
      <c r="H27" s="93"/>
      <c r="I27" s="93"/>
      <c r="J27" s="93"/>
      <c r="K27" s="93"/>
      <c r="L27" s="93"/>
      <c r="M27" s="93"/>
      <c r="N27" s="93"/>
      <c r="O27" s="93"/>
      <c r="P27" s="93"/>
      <c r="Q27" s="93"/>
      <c r="R27" s="94"/>
    </row>
    <row r="28" spans="1:21" ht="20.25" customHeight="1">
      <c r="B28" s="81"/>
      <c r="C28" s="85" t="s">
        <v>104</v>
      </c>
      <c r="D28" s="83"/>
      <c r="E28" s="83"/>
      <c r="F28" s="83"/>
      <c r="G28" s="83"/>
      <c r="H28" s="95"/>
      <c r="I28" s="95"/>
      <c r="J28" s="95"/>
      <c r="K28" s="95"/>
      <c r="L28" s="95"/>
      <c r="M28" s="95"/>
      <c r="N28" s="95"/>
      <c r="O28" s="95"/>
      <c r="P28" s="95"/>
      <c r="Q28" s="95"/>
      <c r="R28" s="96"/>
    </row>
    <row r="29" spans="1:21" ht="20.25" customHeight="1">
      <c r="B29" s="81"/>
      <c r="C29" s="85" t="s">
        <v>105</v>
      </c>
      <c r="D29" s="83"/>
      <c r="E29" s="83"/>
      <c r="F29" s="83"/>
      <c r="G29" s="83"/>
      <c r="H29" s="95"/>
      <c r="I29" s="95"/>
      <c r="J29" s="95"/>
      <c r="K29" s="95"/>
      <c r="L29" s="95"/>
      <c r="M29" s="95"/>
      <c r="N29" s="95"/>
      <c r="O29" s="95"/>
      <c r="P29" s="95"/>
      <c r="Q29" s="95"/>
      <c r="R29" s="96"/>
    </row>
    <row r="30" spans="1:21" ht="20.25" customHeight="1">
      <c r="B30" s="81"/>
      <c r="C30" s="97"/>
      <c r="D30" s="63"/>
      <c r="E30" s="63"/>
      <c r="F30" s="63"/>
      <c r="G30" s="63"/>
      <c r="H30" s="63"/>
      <c r="I30" s="63"/>
      <c r="J30" s="95"/>
      <c r="K30" s="95"/>
      <c r="L30" s="95"/>
      <c r="M30" s="95"/>
      <c r="N30" s="95"/>
      <c r="O30" s="95"/>
      <c r="P30" s="95"/>
      <c r="Q30" s="95"/>
      <c r="R30" s="96"/>
      <c r="S30" s="87"/>
      <c r="T30" s="87"/>
    </row>
    <row r="31" spans="1:21" ht="20.25" customHeight="1">
      <c r="A31" s="98"/>
      <c r="B31" s="81"/>
      <c r="C31" s="97"/>
      <c r="D31" s="218" t="s">
        <v>117</v>
      </c>
      <c r="E31" s="218"/>
      <c r="F31" s="218"/>
      <c r="G31" s="218"/>
      <c r="H31" s="218"/>
      <c r="I31" s="218"/>
      <c r="J31" s="218"/>
      <c r="K31" s="218"/>
      <c r="L31" s="218"/>
      <c r="M31" s="95"/>
      <c r="N31" s="95"/>
      <c r="O31" s="95"/>
      <c r="P31" s="95"/>
      <c r="Q31" s="95"/>
      <c r="R31" s="96"/>
      <c r="S31" s="99"/>
      <c r="T31" s="99"/>
    </row>
    <row r="32" spans="1:21" ht="20.25" customHeight="1" thickBot="1">
      <c r="A32" s="76"/>
      <c r="B32" s="81"/>
      <c r="C32" s="97"/>
      <c r="D32" s="218"/>
      <c r="E32" s="218"/>
      <c r="F32" s="218"/>
      <c r="G32" s="218"/>
      <c r="H32" s="218"/>
      <c r="I32" s="218"/>
      <c r="J32" s="218"/>
      <c r="K32" s="218"/>
      <c r="L32" s="218"/>
      <c r="M32" s="95"/>
      <c r="N32" s="95"/>
      <c r="O32" s="95"/>
      <c r="P32" s="95"/>
      <c r="Q32" s="95"/>
      <c r="R32" s="96"/>
    </row>
    <row r="33" spans="1:20" s="2" customFormat="1" ht="20.25" customHeight="1">
      <c r="B33" s="81"/>
      <c r="C33" s="97"/>
      <c r="D33" s="225" t="s">
        <v>118</v>
      </c>
      <c r="E33" s="225"/>
      <c r="F33" s="218"/>
      <c r="G33" s="218"/>
      <c r="H33" s="218"/>
      <c r="I33" s="218"/>
      <c r="J33" s="218"/>
      <c r="K33" s="218"/>
      <c r="L33" s="218"/>
      <c r="M33" s="95"/>
      <c r="N33" s="95"/>
      <c r="O33" s="95"/>
      <c r="P33" s="95"/>
      <c r="Q33" s="95"/>
      <c r="R33" s="96"/>
    </row>
    <row r="34" spans="1:20" ht="20.25" customHeight="1">
      <c r="A34" s="76"/>
      <c r="B34" s="81"/>
      <c r="C34" s="97"/>
      <c r="D34" s="226" t="s">
        <v>119</v>
      </c>
      <c r="E34" s="226">
        <v>0.92278039708332005</v>
      </c>
      <c r="F34" s="218"/>
      <c r="G34" s="218"/>
      <c r="H34" s="218"/>
      <c r="I34" s="218"/>
      <c r="J34" s="218"/>
      <c r="K34" s="218"/>
      <c r="L34" s="218"/>
      <c r="M34" s="95"/>
      <c r="N34" s="95"/>
      <c r="O34" s="95"/>
      <c r="P34" s="95"/>
      <c r="Q34" s="95"/>
      <c r="R34" s="96"/>
      <c r="S34" s="95"/>
      <c r="T34" s="95"/>
    </row>
    <row r="35" spans="1:20" ht="20.25" customHeight="1">
      <c r="A35" s="76"/>
      <c r="B35" s="81"/>
      <c r="C35" s="97"/>
      <c r="D35" s="226" t="s">
        <v>120</v>
      </c>
      <c r="E35" s="226">
        <v>0.85152366124124979</v>
      </c>
      <c r="F35" s="218"/>
      <c r="G35" s="218"/>
      <c r="H35" s="218"/>
      <c r="I35" s="218"/>
      <c r="J35" s="218"/>
      <c r="K35" s="218"/>
      <c r="L35" s="218"/>
      <c r="M35" s="95"/>
      <c r="N35" s="95"/>
      <c r="O35" s="95"/>
      <c r="P35" s="95"/>
      <c r="Q35" s="95"/>
      <c r="R35" s="96"/>
      <c r="S35" s="95"/>
      <c r="T35" s="95"/>
    </row>
    <row r="36" spans="1:20" ht="20.25" customHeight="1">
      <c r="A36" s="76"/>
      <c r="B36" s="81"/>
      <c r="C36" s="97"/>
      <c r="D36" s="226" t="s">
        <v>121</v>
      </c>
      <c r="E36" s="226">
        <v>0.84546340251640273</v>
      </c>
      <c r="F36" s="218"/>
      <c r="G36" s="218"/>
      <c r="H36" s="218"/>
      <c r="I36" s="218"/>
      <c r="J36" s="218"/>
      <c r="K36" s="218"/>
      <c r="L36" s="218"/>
      <c r="M36" s="95"/>
      <c r="N36" s="95"/>
      <c r="O36" s="95"/>
      <c r="P36" s="95"/>
      <c r="Q36" s="95"/>
      <c r="R36" s="96"/>
      <c r="S36" s="95"/>
      <c r="T36" s="95"/>
    </row>
    <row r="37" spans="1:20" ht="20.25" customHeight="1">
      <c r="A37" s="76"/>
      <c r="B37" s="81"/>
      <c r="C37" s="97"/>
      <c r="D37" s="226" t="s">
        <v>122</v>
      </c>
      <c r="E37" s="226">
        <v>3140.509175234964</v>
      </c>
      <c r="F37" s="218"/>
      <c r="G37" s="218"/>
      <c r="H37" s="218"/>
      <c r="I37" s="218"/>
      <c r="J37" s="218"/>
      <c r="K37" s="218"/>
      <c r="L37" s="218"/>
      <c r="M37" s="95"/>
      <c r="N37" s="95"/>
      <c r="O37" s="95"/>
      <c r="P37" s="95"/>
      <c r="Q37" s="95"/>
      <c r="R37" s="96"/>
      <c r="S37" s="95"/>
      <c r="T37" s="95"/>
    </row>
    <row r="38" spans="1:20" ht="20.25" customHeight="1" thickBot="1">
      <c r="A38" s="76"/>
      <c r="B38" s="81"/>
      <c r="C38" s="97"/>
      <c r="D38" s="227" t="s">
        <v>123</v>
      </c>
      <c r="E38" s="227">
        <v>205</v>
      </c>
      <c r="F38" s="218"/>
      <c r="G38" s="218"/>
      <c r="H38" s="218"/>
      <c r="I38" s="218"/>
      <c r="J38" s="218"/>
      <c r="K38" s="218"/>
      <c r="L38" s="218"/>
      <c r="M38" s="95"/>
      <c r="N38" s="95"/>
      <c r="O38" s="95"/>
      <c r="P38" s="95"/>
      <c r="Q38" s="95"/>
      <c r="R38" s="96"/>
      <c r="S38" s="95"/>
      <c r="T38" s="95"/>
    </row>
    <row r="39" spans="1:20" ht="20.25" customHeight="1">
      <c r="A39" s="76"/>
      <c r="B39" s="81"/>
      <c r="C39" s="97"/>
      <c r="D39" s="218"/>
      <c r="E39" s="218"/>
      <c r="F39" s="218"/>
      <c r="G39" s="218"/>
      <c r="H39" s="218"/>
      <c r="I39" s="218"/>
      <c r="J39" s="218"/>
      <c r="K39" s="218"/>
      <c r="L39" s="218"/>
      <c r="M39" s="95"/>
      <c r="N39" s="95"/>
      <c r="O39" s="95"/>
      <c r="P39" s="95"/>
      <c r="Q39" s="95"/>
      <c r="R39" s="96"/>
      <c r="S39" s="95"/>
      <c r="T39" s="95"/>
    </row>
    <row r="40" spans="1:20" ht="20.25" customHeight="1" thickBot="1">
      <c r="A40" s="76"/>
      <c r="B40" s="81"/>
      <c r="C40" s="97"/>
      <c r="D40" s="218" t="s">
        <v>124</v>
      </c>
      <c r="E40" s="218"/>
      <c r="F40" s="218"/>
      <c r="G40" s="218"/>
      <c r="H40" s="218"/>
      <c r="I40" s="218"/>
      <c r="J40" s="218"/>
      <c r="K40" s="218"/>
      <c r="L40" s="218"/>
      <c r="M40" s="95"/>
      <c r="N40" s="95"/>
      <c r="O40" s="95"/>
      <c r="P40" s="95"/>
      <c r="Q40" s="95"/>
      <c r="R40" s="96"/>
      <c r="S40" s="95"/>
      <c r="T40" s="95"/>
    </row>
    <row r="41" spans="1:20" ht="20.25" customHeight="1">
      <c r="A41" s="76"/>
      <c r="B41" s="81"/>
      <c r="C41" s="97"/>
      <c r="D41" s="228"/>
      <c r="E41" s="228" t="s">
        <v>129</v>
      </c>
      <c r="F41" s="228" t="s">
        <v>130</v>
      </c>
      <c r="G41" s="228" t="s">
        <v>131</v>
      </c>
      <c r="H41" s="228" t="s">
        <v>132</v>
      </c>
      <c r="I41" s="228" t="s">
        <v>133</v>
      </c>
      <c r="J41" s="218"/>
      <c r="K41" s="218"/>
      <c r="L41" s="218"/>
      <c r="M41" s="95"/>
      <c r="N41" s="95"/>
      <c r="O41" s="95"/>
      <c r="P41" s="95"/>
      <c r="Q41" s="95"/>
      <c r="R41" s="96"/>
      <c r="S41" s="95"/>
      <c r="T41" s="95"/>
    </row>
    <row r="42" spans="1:20" ht="20.25" customHeight="1">
      <c r="A42" s="76"/>
      <c r="B42" s="81"/>
      <c r="C42" s="97"/>
      <c r="D42" s="226" t="s">
        <v>125</v>
      </c>
      <c r="E42" s="226">
        <v>8</v>
      </c>
      <c r="F42" s="226">
        <v>11086530977.565125</v>
      </c>
      <c r="G42" s="226">
        <v>1385816372.1956406</v>
      </c>
      <c r="H42" s="226">
        <v>140.50945675801239</v>
      </c>
      <c r="I42" s="226">
        <v>6.8723081180653043E-77</v>
      </c>
      <c r="J42" s="218"/>
      <c r="K42" s="218"/>
      <c r="L42" s="218"/>
      <c r="M42" s="95"/>
      <c r="N42" s="95"/>
      <c r="O42" s="95"/>
      <c r="P42" s="95"/>
      <c r="Q42" s="95"/>
      <c r="R42" s="96"/>
      <c r="S42" s="95"/>
      <c r="T42" s="95"/>
    </row>
    <row r="43" spans="1:20" ht="20.25" customHeight="1">
      <c r="A43" s="76"/>
      <c r="B43" s="81"/>
      <c r="C43" s="97"/>
      <c r="D43" s="226" t="s">
        <v>126</v>
      </c>
      <c r="E43" s="226">
        <v>196</v>
      </c>
      <c r="F43" s="226">
        <v>1933108384.4280589</v>
      </c>
      <c r="G43" s="226">
        <v>9862797.8797349948</v>
      </c>
      <c r="H43" s="226"/>
      <c r="I43" s="226"/>
      <c r="J43" s="218"/>
      <c r="K43" s="218"/>
      <c r="L43" s="218"/>
      <c r="M43" s="95"/>
      <c r="N43" s="95"/>
      <c r="O43" s="95"/>
      <c r="P43" s="95"/>
      <c r="Q43" s="95"/>
      <c r="R43" s="96"/>
      <c r="S43" s="95"/>
      <c r="T43" s="95"/>
    </row>
    <row r="44" spans="1:20" ht="20.25" customHeight="1" thickBot="1">
      <c r="A44" s="76"/>
      <c r="B44" s="81"/>
      <c r="C44" s="97"/>
      <c r="D44" s="227" t="s">
        <v>127</v>
      </c>
      <c r="E44" s="227">
        <v>204</v>
      </c>
      <c r="F44" s="227">
        <v>13019639361.993183</v>
      </c>
      <c r="G44" s="227"/>
      <c r="H44" s="227"/>
      <c r="I44" s="227"/>
      <c r="J44" s="218"/>
      <c r="K44" s="218"/>
      <c r="L44" s="218"/>
      <c r="M44" s="95"/>
      <c r="N44" s="95"/>
      <c r="O44" s="95"/>
      <c r="P44" s="95"/>
      <c r="Q44" s="95"/>
      <c r="R44" s="96"/>
      <c r="S44" s="95"/>
      <c r="T44" s="95"/>
    </row>
    <row r="45" spans="1:20" ht="20.25" customHeight="1" thickBot="1">
      <c r="A45" s="76"/>
      <c r="B45" s="81"/>
      <c r="C45" s="97"/>
      <c r="D45" s="218"/>
      <c r="E45" s="218"/>
      <c r="F45" s="218"/>
      <c r="G45" s="218"/>
      <c r="H45" s="218"/>
      <c r="I45" s="218"/>
      <c r="J45" s="218"/>
      <c r="K45" s="218"/>
      <c r="L45" s="218"/>
      <c r="M45" s="95"/>
      <c r="N45" s="95"/>
      <c r="O45" s="95"/>
      <c r="P45" s="95"/>
      <c r="Q45" s="95"/>
      <c r="R45" s="96"/>
      <c r="S45" s="95"/>
      <c r="T45" s="95"/>
    </row>
    <row r="46" spans="1:20" ht="20.25" customHeight="1">
      <c r="A46" s="76"/>
      <c r="B46" s="81"/>
      <c r="C46" s="97"/>
      <c r="D46" s="370"/>
      <c r="E46" s="370" t="s">
        <v>134</v>
      </c>
      <c r="F46" s="228" t="s">
        <v>122</v>
      </c>
      <c r="G46" s="228" t="s">
        <v>135</v>
      </c>
      <c r="H46" s="382" t="s">
        <v>136</v>
      </c>
      <c r="I46" s="228" t="s">
        <v>137</v>
      </c>
      <c r="J46" s="228" t="s">
        <v>138</v>
      </c>
      <c r="K46" s="228" t="s">
        <v>139</v>
      </c>
      <c r="L46" s="228" t="s">
        <v>140</v>
      </c>
      <c r="M46" s="95"/>
      <c r="N46" s="95"/>
      <c r="O46" s="95"/>
      <c r="P46" s="95"/>
      <c r="Q46" s="95"/>
      <c r="R46" s="96"/>
      <c r="S46" s="95"/>
      <c r="T46" s="95"/>
    </row>
    <row r="47" spans="1:20" ht="20.25" customHeight="1">
      <c r="A47" s="76"/>
      <c r="B47" s="81"/>
      <c r="C47" s="97"/>
      <c r="D47" s="371" t="s">
        <v>128</v>
      </c>
      <c r="E47" s="371">
        <v>-31115.144865709535</v>
      </c>
      <c r="F47" s="226">
        <v>7075.9209871233652</v>
      </c>
      <c r="G47" s="226">
        <v>-4.3973279128373992</v>
      </c>
      <c r="H47" s="383">
        <v>1.7957726064911906E-5</v>
      </c>
      <c r="I47" s="226">
        <v>-45069.860325639085</v>
      </c>
      <c r="J47" s="226">
        <v>-17160.429405779989</v>
      </c>
      <c r="K47" s="226">
        <v>-45069.860325639085</v>
      </c>
      <c r="L47" s="226">
        <v>-17160.429405779989</v>
      </c>
      <c r="M47" s="95"/>
      <c r="N47" s="95"/>
      <c r="O47" s="95"/>
      <c r="P47" s="95"/>
      <c r="Q47" s="95"/>
      <c r="R47" s="96"/>
      <c r="S47" s="95"/>
      <c r="T47" s="95"/>
    </row>
    <row r="48" spans="1:20" ht="20.25" customHeight="1">
      <c r="A48" s="76"/>
      <c r="B48" s="81"/>
      <c r="C48" s="97"/>
      <c r="D48" s="371" t="s">
        <v>74</v>
      </c>
      <c r="E48" s="371">
        <v>279.22610835038478</v>
      </c>
      <c r="F48" s="226">
        <v>97.442394605969184</v>
      </c>
      <c r="G48" s="226">
        <v>2.8655505591739612</v>
      </c>
      <c r="H48" s="383">
        <v>4.6171524608391154E-3</v>
      </c>
      <c r="I48" s="226">
        <v>87.055945210494045</v>
      </c>
      <c r="J48" s="226">
        <v>471.39627149027552</v>
      </c>
      <c r="K48" s="226">
        <v>87.055945210494045</v>
      </c>
      <c r="L48" s="226">
        <v>471.39627149027552</v>
      </c>
      <c r="M48" s="95"/>
      <c r="N48" s="95"/>
      <c r="O48" s="95"/>
      <c r="P48" s="95"/>
      <c r="Q48" s="95"/>
      <c r="R48" s="96"/>
      <c r="S48" s="95"/>
      <c r="T48" s="95"/>
    </row>
    <row r="49" spans="1:36" ht="20.25" customHeight="1">
      <c r="A49" s="76"/>
      <c r="B49" s="81"/>
      <c r="C49" s="97"/>
      <c r="D49" s="371" t="s">
        <v>76</v>
      </c>
      <c r="E49" s="371">
        <v>156.68447000280199</v>
      </c>
      <c r="F49" s="226">
        <v>6.9919314708602842</v>
      </c>
      <c r="G49" s="226">
        <v>22.40932575723938</v>
      </c>
      <c r="H49" s="383">
        <v>5.7329607467887543E-56</v>
      </c>
      <c r="I49" s="226">
        <v>142.8953937300823</v>
      </c>
      <c r="J49" s="226">
        <v>170.47354627552167</v>
      </c>
      <c r="K49" s="226">
        <v>142.8953937300823</v>
      </c>
      <c r="L49" s="226">
        <v>170.47354627552167</v>
      </c>
      <c r="M49" s="95"/>
      <c r="N49" s="95"/>
      <c r="O49" s="95"/>
      <c r="P49" s="95"/>
      <c r="Q49" s="95"/>
      <c r="R49" s="96"/>
      <c r="S49" s="95"/>
      <c r="T49" s="95"/>
    </row>
    <row r="50" spans="1:36" ht="20.25" customHeight="1">
      <c r="A50" s="76"/>
      <c r="B50" s="81"/>
      <c r="C50" s="97"/>
      <c r="D50" s="371" t="s">
        <v>78</v>
      </c>
      <c r="E50" s="371">
        <v>-1921.9914247620227</v>
      </c>
      <c r="F50" s="226">
        <v>810.13426388804453</v>
      </c>
      <c r="G50" s="226">
        <v>-2.3724356695369075</v>
      </c>
      <c r="H50" s="383">
        <v>1.863927395834418E-2</v>
      </c>
      <c r="I50" s="226">
        <v>-3519.690601656469</v>
      </c>
      <c r="J50" s="226">
        <v>-324.29224786757635</v>
      </c>
      <c r="K50" s="226">
        <v>-3519.690601656469</v>
      </c>
      <c r="L50" s="226">
        <v>-324.29224786757635</v>
      </c>
      <c r="M50" s="95"/>
      <c r="N50" s="95"/>
      <c r="O50" s="95"/>
      <c r="P50" s="95"/>
      <c r="Q50" s="95"/>
      <c r="R50" s="96"/>
      <c r="S50" s="95"/>
      <c r="T50" s="95"/>
    </row>
    <row r="51" spans="1:36" ht="20.25" customHeight="1">
      <c r="A51" s="76"/>
      <c r="B51" s="81"/>
      <c r="C51" s="97"/>
      <c r="D51" s="371" t="s">
        <v>81</v>
      </c>
      <c r="E51" s="371">
        <v>3.2210388846643014</v>
      </c>
      <c r="F51" s="226">
        <v>0.57841251483937539</v>
      </c>
      <c r="G51" s="226">
        <v>5.5687572485508561</v>
      </c>
      <c r="H51" s="383">
        <v>8.3772621141229185E-8</v>
      </c>
      <c r="I51" s="226">
        <v>2.0803277210243625</v>
      </c>
      <c r="J51" s="226">
        <v>4.3617500483042404</v>
      </c>
      <c r="K51" s="226">
        <v>2.0803277210243625</v>
      </c>
      <c r="L51" s="226">
        <v>4.3617500483042404</v>
      </c>
      <c r="M51" s="95"/>
      <c r="N51" s="95"/>
      <c r="O51" s="95"/>
      <c r="P51" s="95"/>
      <c r="Q51" s="95"/>
      <c r="R51" s="96"/>
      <c r="S51" s="95"/>
      <c r="T51" s="95"/>
    </row>
    <row r="52" spans="1:36" ht="20.25" customHeight="1">
      <c r="A52" s="76"/>
      <c r="B52" s="81"/>
      <c r="C52" s="97"/>
      <c r="D52" s="371" t="s">
        <v>9</v>
      </c>
      <c r="E52" s="371">
        <v>2491.5545574880985</v>
      </c>
      <c r="F52" s="226">
        <v>955.49910988177066</v>
      </c>
      <c r="G52" s="226">
        <v>2.6075948493519712</v>
      </c>
      <c r="H52" s="383">
        <v>9.8198692523397291E-3</v>
      </c>
      <c r="I52" s="226">
        <v>607.1753756288706</v>
      </c>
      <c r="J52" s="226">
        <v>4375.9337393473261</v>
      </c>
      <c r="K52" s="226">
        <v>607.1753756288706</v>
      </c>
      <c r="L52" s="226">
        <v>4375.9337393473261</v>
      </c>
      <c r="M52" s="95"/>
      <c r="N52" s="95"/>
      <c r="O52" s="95"/>
      <c r="P52" s="95"/>
      <c r="Q52" s="95"/>
      <c r="R52" s="96"/>
      <c r="S52" s="95"/>
      <c r="T52" s="95"/>
    </row>
    <row r="53" spans="1:36" ht="20.25" customHeight="1">
      <c r="A53" s="76"/>
      <c r="B53" s="81"/>
      <c r="C53" s="97"/>
      <c r="D53" s="371" t="s">
        <v>8</v>
      </c>
      <c r="E53" s="371">
        <v>1693.8859256350627</v>
      </c>
      <c r="F53" s="226">
        <v>636.78465645295739</v>
      </c>
      <c r="G53" s="226">
        <v>2.6600608360609876</v>
      </c>
      <c r="H53" s="383">
        <v>8.4594417703959448E-3</v>
      </c>
      <c r="I53" s="226">
        <v>438.05665532228431</v>
      </c>
      <c r="J53" s="226">
        <v>2949.715195947841</v>
      </c>
      <c r="K53" s="226">
        <v>438.05665532228431</v>
      </c>
      <c r="L53" s="226">
        <v>2949.715195947841</v>
      </c>
      <c r="M53" s="95"/>
      <c r="N53" s="95"/>
      <c r="O53" s="95"/>
      <c r="P53" s="95"/>
      <c r="Q53" s="95"/>
      <c r="R53" s="96"/>
      <c r="S53" s="95"/>
      <c r="T53" s="95"/>
    </row>
    <row r="54" spans="1:36" ht="20.25" customHeight="1">
      <c r="A54" s="76"/>
      <c r="B54" s="81"/>
      <c r="C54" s="97"/>
      <c r="D54" s="371" t="s">
        <v>6</v>
      </c>
      <c r="E54" s="371">
        <v>-2395.9205000966545</v>
      </c>
      <c r="F54" s="226">
        <v>553.19758370107513</v>
      </c>
      <c r="G54" s="226">
        <v>-4.3310393441474426</v>
      </c>
      <c r="H54" s="383">
        <v>2.3671176103471433E-5</v>
      </c>
      <c r="I54" s="226">
        <v>-3486.9042586373816</v>
      </c>
      <c r="J54" s="226">
        <v>-1304.936741555927</v>
      </c>
      <c r="K54" s="226">
        <v>-3486.9042586373816</v>
      </c>
      <c r="L54" s="226">
        <v>-1304.936741555927</v>
      </c>
      <c r="M54" s="95"/>
      <c r="N54" s="95"/>
      <c r="O54" s="95"/>
      <c r="P54" s="95"/>
      <c r="Q54" s="95"/>
      <c r="R54" s="84"/>
      <c r="S54" s="95"/>
      <c r="T54" s="95"/>
    </row>
    <row r="55" spans="1:36" ht="20.25" customHeight="1" thickBot="1">
      <c r="A55" s="76"/>
      <c r="B55" s="81"/>
      <c r="C55" s="97"/>
      <c r="D55" s="372" t="s">
        <v>10</v>
      </c>
      <c r="E55" s="372">
        <v>7407.9362065765699</v>
      </c>
      <c r="F55" s="227">
        <v>1992.4187431648847</v>
      </c>
      <c r="G55" s="227">
        <v>3.7180618943632968</v>
      </c>
      <c r="H55" s="384">
        <v>2.6197297818258833E-4</v>
      </c>
      <c r="I55" s="227">
        <v>3478.6050723690259</v>
      </c>
      <c r="J55" s="227">
        <v>11337.267340784114</v>
      </c>
      <c r="K55" s="227">
        <v>3478.6050723690259</v>
      </c>
      <c r="L55" s="227">
        <v>11337.267340784114</v>
      </c>
      <c r="M55" s="95"/>
      <c r="N55" s="95"/>
      <c r="O55" s="95"/>
      <c r="P55" s="95"/>
      <c r="Q55" s="95"/>
      <c r="R55" s="84"/>
      <c r="S55" s="95"/>
      <c r="T55" s="95"/>
    </row>
    <row r="56" spans="1:36" ht="20.25" customHeight="1">
      <c r="A56" s="76"/>
      <c r="B56" s="81"/>
      <c r="C56" s="97"/>
      <c r="D56" s="218"/>
      <c r="E56" s="218"/>
      <c r="F56" s="218"/>
      <c r="G56" s="218"/>
      <c r="H56" s="218"/>
      <c r="I56" s="218"/>
      <c r="J56" s="218"/>
      <c r="K56" s="218"/>
      <c r="L56" s="218"/>
      <c r="M56" s="95"/>
      <c r="N56" s="95"/>
      <c r="O56" s="95"/>
      <c r="P56" s="95"/>
      <c r="Q56" s="95"/>
      <c r="R56" s="84"/>
      <c r="S56" s="95"/>
      <c r="T56" s="95"/>
    </row>
    <row r="57" spans="1:36" ht="20.25" customHeight="1">
      <c r="A57" s="76"/>
      <c r="B57" s="81"/>
      <c r="C57" s="97"/>
      <c r="D57" s="217"/>
      <c r="E57" s="217"/>
      <c r="F57" s="217"/>
      <c r="G57" s="217"/>
      <c r="H57" s="217"/>
      <c r="I57" s="217"/>
      <c r="J57" s="217"/>
      <c r="K57" s="217"/>
      <c r="L57" s="217"/>
      <c r="M57" s="95"/>
      <c r="N57" s="95"/>
      <c r="O57" s="95"/>
      <c r="P57" s="95"/>
      <c r="Q57" s="95"/>
      <c r="R57" s="84"/>
      <c r="S57" s="95"/>
      <c r="T57" s="95"/>
    </row>
    <row r="58" spans="1:36" ht="20.25" customHeight="1">
      <c r="A58" s="76"/>
      <c r="B58" s="81"/>
      <c r="C58" s="97"/>
      <c r="D58" s="217"/>
      <c r="E58" s="217"/>
      <c r="F58" s="217"/>
      <c r="G58" s="217"/>
      <c r="H58" s="217"/>
      <c r="I58" s="217"/>
      <c r="J58" s="217"/>
      <c r="K58" s="217"/>
      <c r="L58" s="217"/>
      <c r="M58" s="95"/>
      <c r="N58" s="95"/>
      <c r="O58" s="95"/>
      <c r="P58" s="95"/>
      <c r="Q58" s="95"/>
      <c r="R58" s="84"/>
      <c r="S58" s="95"/>
      <c r="T58" s="95"/>
    </row>
    <row r="59" spans="1:36" ht="20.25" customHeight="1" thickBot="1">
      <c r="A59" s="76"/>
      <c r="B59" s="100"/>
      <c r="C59" s="101"/>
      <c r="D59" s="101"/>
      <c r="E59" s="101"/>
      <c r="F59" s="101"/>
      <c r="G59" s="101"/>
      <c r="H59" s="101"/>
      <c r="I59" s="101"/>
      <c r="J59" s="101"/>
      <c r="K59" s="101"/>
      <c r="L59" s="101"/>
      <c r="M59" s="101"/>
      <c r="N59" s="101"/>
      <c r="O59" s="101"/>
      <c r="P59" s="101"/>
      <c r="Q59" s="101"/>
      <c r="R59" s="102"/>
      <c r="S59" s="95"/>
      <c r="T59" s="95"/>
    </row>
    <row r="60" spans="1:36" ht="20.25" customHeight="1">
      <c r="A60" s="76"/>
      <c r="B60" s="76"/>
      <c r="C60" s="83"/>
      <c r="D60" s="83"/>
      <c r="E60" s="83"/>
      <c r="F60" s="83"/>
      <c r="G60" s="83"/>
      <c r="H60" s="83"/>
      <c r="I60" s="83"/>
      <c r="J60" s="83"/>
      <c r="K60" s="83"/>
      <c r="L60" s="83"/>
      <c r="M60" s="83"/>
      <c r="N60" s="83"/>
      <c r="O60" s="83"/>
      <c r="P60" s="83"/>
      <c r="Q60" s="83"/>
      <c r="R60" s="83"/>
      <c r="S60" s="95"/>
      <c r="T60" s="95"/>
    </row>
    <row r="61" spans="1:36" ht="20.25" customHeight="1">
      <c r="A61" s="76"/>
      <c r="B61" s="83"/>
      <c r="D61" s="66"/>
      <c r="K61" s="83"/>
      <c r="L61" s="83"/>
      <c r="M61" s="83"/>
      <c r="N61" s="83"/>
      <c r="O61" s="83"/>
      <c r="P61" s="83"/>
      <c r="Q61" s="83"/>
      <c r="R61" s="83"/>
      <c r="S61" s="83"/>
      <c r="T61" s="95"/>
    </row>
    <row r="62" spans="1:36" ht="20.25" customHeight="1">
      <c r="A62" s="69" t="s">
        <v>68</v>
      </c>
      <c r="B62" s="65"/>
      <c r="C62" s="70"/>
      <c r="D62" s="65"/>
      <c r="E62" s="71" t="s">
        <v>69</v>
      </c>
      <c r="F62" s="65"/>
      <c r="G62" s="65"/>
      <c r="H62" s="65"/>
      <c r="I62" s="65"/>
      <c r="J62" s="65"/>
      <c r="K62" s="65"/>
      <c r="L62" s="65"/>
      <c r="M62" s="65"/>
      <c r="N62" s="65"/>
      <c r="O62" s="65"/>
      <c r="P62" s="65"/>
      <c r="Q62" s="65"/>
      <c r="R62" s="65"/>
      <c r="S62" s="65"/>
      <c r="T62" s="95"/>
    </row>
    <row r="63" spans="1:36" ht="20.25" customHeight="1">
      <c r="A63" s="76"/>
      <c r="B63" s="83"/>
      <c r="C63" s="103"/>
      <c r="D63" s="103"/>
      <c r="E63" s="95"/>
      <c r="F63" s="95"/>
      <c r="G63" s="95"/>
      <c r="H63" s="95"/>
      <c r="I63" s="95"/>
      <c r="J63" s="95"/>
      <c r="K63" s="83"/>
      <c r="L63" s="83"/>
      <c r="M63" s="83"/>
      <c r="N63" s="83"/>
      <c r="O63" s="83"/>
      <c r="P63" s="83"/>
      <c r="Q63" s="83"/>
      <c r="R63" s="83"/>
      <c r="S63" s="83"/>
      <c r="T63" s="95"/>
    </row>
    <row r="64" spans="1:36" ht="20.25" customHeight="1">
      <c r="A64" s="76"/>
      <c r="B64" s="83"/>
      <c r="D64" s="73"/>
      <c r="E64" s="215" t="s">
        <v>74</v>
      </c>
      <c r="F64" s="73" t="s">
        <v>76</v>
      </c>
      <c r="G64" s="73" t="s">
        <v>78</v>
      </c>
      <c r="H64" s="73" t="s">
        <v>81</v>
      </c>
      <c r="I64" s="83" t="s">
        <v>9</v>
      </c>
      <c r="J64" s="83" t="s">
        <v>8</v>
      </c>
      <c r="K64" s="83" t="s">
        <v>7</v>
      </c>
      <c r="L64" s="83" t="s">
        <v>6</v>
      </c>
      <c r="M64" s="83" t="s">
        <v>10</v>
      </c>
      <c r="N64" s="83" t="s">
        <v>84</v>
      </c>
      <c r="O64" s="83"/>
      <c r="P64" s="83"/>
      <c r="Q64" s="83"/>
      <c r="R64" s="83"/>
      <c r="S64" s="83"/>
      <c r="T64" s="95"/>
      <c r="AB64" s="230" t="s">
        <v>74</v>
      </c>
      <c r="AC64" s="231" t="s">
        <v>76</v>
      </c>
      <c r="AD64" s="231" t="s">
        <v>78</v>
      </c>
      <c r="AE64" s="231" t="s">
        <v>81</v>
      </c>
      <c r="AF64" s="232" t="s">
        <v>9</v>
      </c>
      <c r="AG64" s="232" t="s">
        <v>8</v>
      </c>
      <c r="AH64" s="232" t="s">
        <v>6</v>
      </c>
      <c r="AI64" s="232" t="s">
        <v>10</v>
      </c>
      <c r="AJ64" s="238" t="s">
        <v>84</v>
      </c>
    </row>
    <row r="65" spans="1:46" ht="20.25" customHeight="1">
      <c r="A65" s="76"/>
      <c r="B65" s="83"/>
      <c r="D65"/>
      <c r="E65" s="216">
        <v>48.8</v>
      </c>
      <c r="F65">
        <v>130</v>
      </c>
      <c r="G65">
        <v>2.68</v>
      </c>
      <c r="H65">
        <v>5000</v>
      </c>
      <c r="I65" s="221">
        <v>0</v>
      </c>
      <c r="J65" s="222">
        <v>0</v>
      </c>
      <c r="K65" s="219">
        <v>0</v>
      </c>
      <c r="L65" s="219">
        <v>0</v>
      </c>
      <c r="M65" s="219">
        <v>0</v>
      </c>
      <c r="N65" s="83">
        <v>13495</v>
      </c>
      <c r="O65" s="83"/>
      <c r="P65" s="83"/>
      <c r="Q65" s="83"/>
      <c r="R65" s="83"/>
      <c r="S65" s="83"/>
      <c r="T65" s="95"/>
      <c r="AB65" s="186">
        <v>48.8</v>
      </c>
      <c r="AC65" s="187">
        <v>130</v>
      </c>
      <c r="AD65" s="187">
        <v>2.68</v>
      </c>
      <c r="AE65" s="187">
        <v>5000</v>
      </c>
      <c r="AF65" s="233">
        <v>0</v>
      </c>
      <c r="AG65" s="234">
        <v>0</v>
      </c>
      <c r="AH65" s="239">
        <v>0</v>
      </c>
      <c r="AI65" s="239">
        <v>0</v>
      </c>
      <c r="AJ65" s="240">
        <v>13495</v>
      </c>
    </row>
    <row r="66" spans="1:46" ht="20.25" customHeight="1">
      <c r="A66" s="76"/>
      <c r="B66" s="83"/>
      <c r="D66"/>
      <c r="E66" s="216">
        <v>48.8</v>
      </c>
      <c r="F66">
        <v>130</v>
      </c>
      <c r="G66">
        <v>2.68</v>
      </c>
      <c r="H66">
        <v>5000</v>
      </c>
      <c r="I66" s="222">
        <v>0</v>
      </c>
      <c r="J66" s="222">
        <v>0</v>
      </c>
      <c r="K66" s="219">
        <v>0</v>
      </c>
      <c r="L66" s="219">
        <v>0</v>
      </c>
      <c r="M66" s="219">
        <v>0</v>
      </c>
      <c r="N66" s="83">
        <v>16500</v>
      </c>
      <c r="O66" s="83"/>
      <c r="P66" s="83"/>
      <c r="Q66" s="83"/>
      <c r="R66" s="217" t="s">
        <v>117</v>
      </c>
      <c r="S66" s="217"/>
      <c r="T66" s="217"/>
      <c r="U66" s="217"/>
      <c r="V66" s="217"/>
      <c r="W66" s="217"/>
      <c r="X66" s="217"/>
      <c r="Y66" s="217"/>
      <c r="Z66" s="217"/>
      <c r="AB66" s="188">
        <v>48.8</v>
      </c>
      <c r="AC66" s="189">
        <v>130</v>
      </c>
      <c r="AD66" s="189">
        <v>2.68</v>
      </c>
      <c r="AE66" s="189">
        <v>5000</v>
      </c>
      <c r="AF66" s="235">
        <v>0</v>
      </c>
      <c r="AG66" s="235">
        <v>0</v>
      </c>
      <c r="AH66" s="241">
        <v>0</v>
      </c>
      <c r="AI66" s="241">
        <v>0</v>
      </c>
      <c r="AJ66" s="242">
        <v>16500</v>
      </c>
    </row>
    <row r="67" spans="1:46" ht="20.25" customHeight="1" thickBot="1">
      <c r="A67" s="76"/>
      <c r="B67" s="104"/>
      <c r="D67"/>
      <c r="E67" s="216">
        <v>52.4</v>
      </c>
      <c r="F67">
        <v>152</v>
      </c>
      <c r="G67">
        <v>3.47</v>
      </c>
      <c r="H67">
        <v>5000</v>
      </c>
      <c r="I67" s="223">
        <v>0</v>
      </c>
      <c r="J67" s="223">
        <v>0</v>
      </c>
      <c r="K67" s="220">
        <v>0</v>
      </c>
      <c r="L67" s="220">
        <v>0</v>
      </c>
      <c r="M67" s="220">
        <v>0</v>
      </c>
      <c r="N67" s="104">
        <v>16500</v>
      </c>
      <c r="O67" s="104"/>
      <c r="P67" s="104"/>
      <c r="Q67" s="104"/>
      <c r="R67" s="217"/>
      <c r="S67" s="217"/>
      <c r="T67" s="217"/>
      <c r="U67" s="217"/>
      <c r="V67" s="217"/>
      <c r="W67" s="217"/>
      <c r="X67" s="217"/>
      <c r="Y67" s="217"/>
      <c r="Z67" s="217"/>
      <c r="AB67" s="186">
        <v>52.4</v>
      </c>
      <c r="AC67" s="187">
        <v>152</v>
      </c>
      <c r="AD67" s="187">
        <v>3.47</v>
      </c>
      <c r="AE67" s="187">
        <v>5000</v>
      </c>
      <c r="AF67" s="236">
        <v>0</v>
      </c>
      <c r="AG67" s="236">
        <v>0</v>
      </c>
      <c r="AH67" s="243">
        <v>0</v>
      </c>
      <c r="AI67" s="243">
        <v>0</v>
      </c>
      <c r="AJ67" s="244">
        <v>16500</v>
      </c>
    </row>
    <row r="68" spans="1:46" ht="20.25" customHeight="1">
      <c r="A68" s="83"/>
      <c r="B68" s="83"/>
      <c r="D68"/>
      <c r="E68" s="216">
        <v>54.3</v>
      </c>
      <c r="F68">
        <v>109</v>
      </c>
      <c r="G68">
        <v>3.4</v>
      </c>
      <c r="H68">
        <v>5500</v>
      </c>
      <c r="I68" s="223">
        <v>0</v>
      </c>
      <c r="J68" s="223">
        <v>0</v>
      </c>
      <c r="K68" s="219">
        <v>0</v>
      </c>
      <c r="L68" s="219">
        <v>1</v>
      </c>
      <c r="M68" s="219">
        <v>0</v>
      </c>
      <c r="N68" s="83">
        <v>13950</v>
      </c>
      <c r="O68" s="83"/>
      <c r="P68" s="83"/>
      <c r="Q68" s="83"/>
      <c r="R68" s="224" t="s">
        <v>118</v>
      </c>
      <c r="S68" s="224"/>
      <c r="T68" s="217"/>
      <c r="U68" s="217"/>
      <c r="V68" s="217"/>
      <c r="W68" s="217"/>
      <c r="X68" s="217"/>
      <c r="Y68" s="217"/>
      <c r="Z68" s="217"/>
      <c r="AB68" s="188">
        <v>54.3</v>
      </c>
      <c r="AC68" s="189">
        <v>109</v>
      </c>
      <c r="AD68" s="189">
        <v>3.4</v>
      </c>
      <c r="AE68" s="189">
        <v>5500</v>
      </c>
      <c r="AF68" s="237">
        <v>0</v>
      </c>
      <c r="AG68" s="237">
        <v>0</v>
      </c>
      <c r="AH68" s="241">
        <v>1</v>
      </c>
      <c r="AI68" s="241">
        <v>0</v>
      </c>
      <c r="AJ68" s="242">
        <v>13950</v>
      </c>
      <c r="AL68" s="217" t="s">
        <v>117</v>
      </c>
      <c r="AM68" s="217"/>
      <c r="AN68" s="217"/>
      <c r="AO68" s="217"/>
      <c r="AP68" s="217"/>
      <c r="AQ68" s="217"/>
      <c r="AR68" s="217"/>
      <c r="AS68" s="217"/>
      <c r="AT68" s="217"/>
    </row>
    <row r="69" spans="1:46" s="65" customFormat="1" ht="20" thickBot="1">
      <c r="B69" s="83"/>
      <c r="D69"/>
      <c r="E69" s="216">
        <v>54.3</v>
      </c>
      <c r="F69">
        <v>136</v>
      </c>
      <c r="G69">
        <v>3.4</v>
      </c>
      <c r="H69">
        <v>5500</v>
      </c>
      <c r="I69" s="223">
        <v>0</v>
      </c>
      <c r="J69" s="223">
        <v>0</v>
      </c>
      <c r="K69" s="219">
        <v>1</v>
      </c>
      <c r="L69" s="219">
        <v>0</v>
      </c>
      <c r="M69" s="219">
        <v>0</v>
      </c>
      <c r="N69" s="83">
        <v>17450</v>
      </c>
      <c r="O69" s="83"/>
      <c r="P69" s="83"/>
      <c r="Q69" s="83"/>
      <c r="R69" s="192" t="s">
        <v>119</v>
      </c>
      <c r="S69" s="192">
        <v>0.92461580561840284</v>
      </c>
      <c r="T69" s="217"/>
      <c r="U69" s="217"/>
      <c r="V69" s="217"/>
      <c r="W69" s="217"/>
      <c r="X69" s="217"/>
      <c r="Y69" s="217"/>
      <c r="Z69" s="217"/>
      <c r="AB69" s="186">
        <v>54.3</v>
      </c>
      <c r="AC69" s="187">
        <v>136</v>
      </c>
      <c r="AD69" s="187">
        <v>3.4</v>
      </c>
      <c r="AE69" s="187">
        <v>5500</v>
      </c>
      <c r="AF69" s="236">
        <v>0</v>
      </c>
      <c r="AG69" s="236">
        <v>0</v>
      </c>
      <c r="AH69" s="239">
        <v>0</v>
      </c>
      <c r="AI69" s="239">
        <v>0</v>
      </c>
      <c r="AJ69" s="240">
        <v>17450</v>
      </c>
      <c r="AL69" s="217"/>
      <c r="AM69" s="217"/>
      <c r="AN69" s="217"/>
      <c r="AO69" s="217"/>
      <c r="AP69" s="217"/>
      <c r="AQ69" s="217"/>
      <c r="AR69" s="217"/>
      <c r="AS69" s="217"/>
      <c r="AT69" s="217"/>
    </row>
    <row r="70" spans="1:46" ht="20.25" customHeight="1">
      <c r="A70" s="83"/>
      <c r="B70" s="83"/>
      <c r="D70"/>
      <c r="E70" s="216">
        <v>53.1</v>
      </c>
      <c r="F70">
        <v>136</v>
      </c>
      <c r="G70">
        <v>3.4</v>
      </c>
      <c r="H70">
        <v>5500</v>
      </c>
      <c r="I70" s="223">
        <v>0</v>
      </c>
      <c r="J70" s="223">
        <v>0</v>
      </c>
      <c r="K70" s="219">
        <v>0</v>
      </c>
      <c r="L70" s="219">
        <v>1</v>
      </c>
      <c r="M70" s="219">
        <v>0</v>
      </c>
      <c r="N70" s="83">
        <v>15250</v>
      </c>
      <c r="O70" s="83"/>
      <c r="P70" s="83"/>
      <c r="Q70" s="83"/>
      <c r="R70" s="192" t="s">
        <v>120</v>
      </c>
      <c r="S70" s="192">
        <v>0.85491438799936814</v>
      </c>
      <c r="T70" s="217"/>
      <c r="U70" s="217"/>
      <c r="V70" s="217"/>
      <c r="W70" s="217"/>
      <c r="X70" s="217"/>
      <c r="Y70" s="217"/>
      <c r="Z70" s="217"/>
      <c r="AB70" s="188">
        <v>53.1</v>
      </c>
      <c r="AC70" s="189">
        <v>136</v>
      </c>
      <c r="AD70" s="189">
        <v>3.4</v>
      </c>
      <c r="AE70" s="189">
        <v>5500</v>
      </c>
      <c r="AF70" s="237">
        <v>0</v>
      </c>
      <c r="AG70" s="237">
        <v>0</v>
      </c>
      <c r="AH70" s="241">
        <v>1</v>
      </c>
      <c r="AI70" s="241">
        <v>0</v>
      </c>
      <c r="AJ70" s="242">
        <v>15250</v>
      </c>
      <c r="AL70" s="224" t="s">
        <v>118</v>
      </c>
      <c r="AM70" s="224"/>
      <c r="AN70" s="217"/>
      <c r="AO70" s="217"/>
      <c r="AP70" s="217"/>
      <c r="AQ70" s="217"/>
      <c r="AR70" s="217"/>
      <c r="AS70" s="217"/>
      <c r="AT70" s="217"/>
    </row>
    <row r="71" spans="1:46" ht="20.25" customHeight="1">
      <c r="A71" s="83"/>
      <c r="B71" s="83"/>
      <c r="D71"/>
      <c r="E71" s="216">
        <v>55.7</v>
      </c>
      <c r="F71">
        <v>136</v>
      </c>
      <c r="G71">
        <v>3.4</v>
      </c>
      <c r="H71">
        <v>5500</v>
      </c>
      <c r="I71" s="223">
        <v>0</v>
      </c>
      <c r="J71" s="223">
        <v>0</v>
      </c>
      <c r="K71" s="219">
        <v>0</v>
      </c>
      <c r="L71" s="219">
        <v>1</v>
      </c>
      <c r="M71" s="219">
        <v>0</v>
      </c>
      <c r="N71" s="83">
        <v>17710</v>
      </c>
      <c r="O71" s="83"/>
      <c r="P71" s="83"/>
      <c r="Q71" s="83"/>
      <c r="R71" s="192" t="s">
        <v>121</v>
      </c>
      <c r="S71" s="192">
        <v>0.84664525985425432</v>
      </c>
      <c r="T71" s="217"/>
      <c r="U71" s="217"/>
      <c r="V71" s="217"/>
      <c r="W71" s="217"/>
      <c r="X71" s="217"/>
      <c r="Y71" s="217"/>
      <c r="Z71" s="217"/>
      <c r="AB71" s="186">
        <v>55.7</v>
      </c>
      <c r="AC71" s="187">
        <v>136</v>
      </c>
      <c r="AD71" s="187">
        <v>3.4</v>
      </c>
      <c r="AE71" s="187">
        <v>5500</v>
      </c>
      <c r="AF71" s="236">
        <v>0</v>
      </c>
      <c r="AG71" s="236">
        <v>0</v>
      </c>
      <c r="AH71" s="239">
        <v>1</v>
      </c>
      <c r="AI71" s="239">
        <v>0</v>
      </c>
      <c r="AJ71" s="240">
        <v>17710</v>
      </c>
      <c r="AL71" s="192" t="s">
        <v>119</v>
      </c>
      <c r="AM71" s="192">
        <v>0.92278039708332005</v>
      </c>
      <c r="AN71" s="217"/>
      <c r="AO71" s="217"/>
      <c r="AP71" s="217"/>
      <c r="AQ71" s="217"/>
      <c r="AR71" s="217"/>
      <c r="AS71" s="217"/>
      <c r="AT71" s="217"/>
    </row>
    <row r="72" spans="1:46" ht="20.25" customHeight="1">
      <c r="A72" s="83"/>
      <c r="B72" s="83"/>
      <c r="D72"/>
      <c r="E72" s="216">
        <v>55.7</v>
      </c>
      <c r="F72">
        <v>136</v>
      </c>
      <c r="G72">
        <v>3.4</v>
      </c>
      <c r="H72">
        <v>5500</v>
      </c>
      <c r="I72" s="222">
        <v>0</v>
      </c>
      <c r="J72" s="222">
        <v>0</v>
      </c>
      <c r="K72" s="219">
        <v>0</v>
      </c>
      <c r="L72" s="219">
        <v>1</v>
      </c>
      <c r="M72" s="219">
        <v>0</v>
      </c>
      <c r="N72" s="83">
        <v>18920</v>
      </c>
      <c r="O72" s="83"/>
      <c r="P72" s="83"/>
      <c r="Q72" s="83"/>
      <c r="R72" s="192" t="s">
        <v>122</v>
      </c>
      <c r="S72" s="192">
        <v>3128.4772114399275</v>
      </c>
      <c r="T72" s="217"/>
      <c r="U72" s="217"/>
      <c r="V72" s="217"/>
      <c r="W72" s="217"/>
      <c r="X72" s="217"/>
      <c r="Y72" s="217"/>
      <c r="Z72" s="217"/>
      <c r="AB72" s="188">
        <v>55.7</v>
      </c>
      <c r="AC72" s="189">
        <v>136</v>
      </c>
      <c r="AD72" s="189">
        <v>3.4</v>
      </c>
      <c r="AE72" s="189">
        <v>5500</v>
      </c>
      <c r="AF72" s="235">
        <v>0</v>
      </c>
      <c r="AG72" s="235">
        <v>0</v>
      </c>
      <c r="AH72" s="241">
        <v>1</v>
      </c>
      <c r="AI72" s="241">
        <v>0</v>
      </c>
      <c r="AJ72" s="242">
        <v>18920</v>
      </c>
      <c r="AL72" s="192" t="s">
        <v>120</v>
      </c>
      <c r="AM72" s="192">
        <v>0.85152366124124979</v>
      </c>
      <c r="AN72" s="217"/>
      <c r="AO72" s="217"/>
      <c r="AP72" s="217"/>
      <c r="AQ72" s="217"/>
      <c r="AR72" s="217"/>
      <c r="AS72" s="217"/>
      <c r="AT72" s="217"/>
    </row>
    <row r="73" spans="1:46" ht="20.25" customHeight="1" thickBot="1">
      <c r="A73" s="83"/>
      <c r="B73" s="83"/>
      <c r="D73"/>
      <c r="E73" s="216">
        <v>55.9</v>
      </c>
      <c r="F73">
        <v>131</v>
      </c>
      <c r="G73">
        <v>3.4</v>
      </c>
      <c r="H73">
        <v>5500</v>
      </c>
      <c r="I73" s="222">
        <v>0</v>
      </c>
      <c r="J73" s="222">
        <v>1</v>
      </c>
      <c r="K73" s="219">
        <v>0</v>
      </c>
      <c r="L73" s="219">
        <v>1</v>
      </c>
      <c r="M73" s="219">
        <v>0</v>
      </c>
      <c r="N73" s="83">
        <v>23875</v>
      </c>
      <c r="O73" s="83"/>
      <c r="P73" s="83"/>
      <c r="Q73" s="83"/>
      <c r="R73" s="194" t="s">
        <v>123</v>
      </c>
      <c r="S73" s="194">
        <v>205</v>
      </c>
      <c r="T73" s="217"/>
      <c r="U73" s="217"/>
      <c r="V73" s="217"/>
      <c r="W73" s="217"/>
      <c r="X73" s="217"/>
      <c r="Y73" s="217"/>
      <c r="Z73" s="217"/>
      <c r="AB73" s="186">
        <v>55.9</v>
      </c>
      <c r="AC73" s="187">
        <v>131</v>
      </c>
      <c r="AD73" s="187">
        <v>3.4</v>
      </c>
      <c r="AE73" s="187">
        <v>5500</v>
      </c>
      <c r="AF73" s="234">
        <v>0</v>
      </c>
      <c r="AG73" s="234">
        <v>1</v>
      </c>
      <c r="AH73" s="239">
        <v>1</v>
      </c>
      <c r="AI73" s="239">
        <v>0</v>
      </c>
      <c r="AJ73" s="240">
        <v>23875</v>
      </c>
      <c r="AL73" s="192" t="s">
        <v>121</v>
      </c>
      <c r="AM73" s="192">
        <v>0.84546340251640273</v>
      </c>
      <c r="AN73" s="217"/>
      <c r="AO73" s="217"/>
      <c r="AP73" s="217"/>
      <c r="AQ73" s="217"/>
      <c r="AR73" s="217"/>
      <c r="AS73" s="217"/>
      <c r="AT73" s="217"/>
    </row>
    <row r="74" spans="1:46" s="105" customFormat="1" ht="20.25" customHeight="1">
      <c r="A74" s="104"/>
      <c r="B74" s="83"/>
      <c r="D74"/>
      <c r="E74" s="216">
        <v>52</v>
      </c>
      <c r="F74">
        <v>131</v>
      </c>
      <c r="G74">
        <v>3.4</v>
      </c>
      <c r="H74">
        <v>5500</v>
      </c>
      <c r="I74" s="222">
        <v>0</v>
      </c>
      <c r="J74" s="222">
        <v>1</v>
      </c>
      <c r="K74" s="219">
        <v>1</v>
      </c>
      <c r="L74" s="219">
        <v>0</v>
      </c>
      <c r="M74" s="219">
        <v>0</v>
      </c>
      <c r="N74" s="83">
        <v>17859.167000000001</v>
      </c>
      <c r="O74" s="83"/>
      <c r="P74" s="83"/>
      <c r="Q74" s="83"/>
      <c r="R74" s="217"/>
      <c r="S74" s="217"/>
      <c r="T74" s="217"/>
      <c r="U74" s="217"/>
      <c r="V74" s="217"/>
      <c r="W74" s="217"/>
      <c r="X74" s="217"/>
      <c r="Y74" s="217"/>
      <c r="Z74" s="217"/>
      <c r="AB74" s="188">
        <v>52</v>
      </c>
      <c r="AC74" s="189">
        <v>131</v>
      </c>
      <c r="AD74" s="189">
        <v>3.4</v>
      </c>
      <c r="AE74" s="189">
        <v>5500</v>
      </c>
      <c r="AF74" s="235">
        <v>0</v>
      </c>
      <c r="AG74" s="235">
        <v>1</v>
      </c>
      <c r="AH74" s="241">
        <v>0</v>
      </c>
      <c r="AI74" s="241">
        <v>0</v>
      </c>
      <c r="AJ74" s="242">
        <v>17859.167000000001</v>
      </c>
      <c r="AL74" s="192" t="s">
        <v>122</v>
      </c>
      <c r="AM74" s="192">
        <v>3140.509175234964</v>
      </c>
      <c r="AN74" s="217"/>
      <c r="AO74" s="217"/>
      <c r="AP74" s="217"/>
      <c r="AQ74" s="217"/>
      <c r="AR74" s="217"/>
      <c r="AS74" s="217"/>
      <c r="AT74" s="217"/>
    </row>
    <row r="75" spans="1:46" ht="20.25" customHeight="1" thickBot="1">
      <c r="A75" s="83"/>
      <c r="B75" s="83"/>
      <c r="D75"/>
      <c r="E75" s="216">
        <v>54.3</v>
      </c>
      <c r="F75">
        <v>108</v>
      </c>
      <c r="G75">
        <v>2.8</v>
      </c>
      <c r="H75">
        <v>5800</v>
      </c>
      <c r="I75" s="222">
        <v>0</v>
      </c>
      <c r="J75" s="222">
        <v>0</v>
      </c>
      <c r="K75" s="219">
        <v>0</v>
      </c>
      <c r="L75" s="219">
        <v>0</v>
      </c>
      <c r="M75" s="219">
        <v>0</v>
      </c>
      <c r="N75" s="83">
        <v>16430</v>
      </c>
      <c r="O75" s="83"/>
      <c r="P75" s="83"/>
      <c r="Q75" s="83"/>
      <c r="R75" s="217" t="s">
        <v>124</v>
      </c>
      <c r="S75" s="217"/>
      <c r="T75" s="217"/>
      <c r="U75" s="217"/>
      <c r="V75" s="217"/>
      <c r="W75" s="217"/>
      <c r="X75" s="217"/>
      <c r="Y75" s="217"/>
      <c r="Z75" s="217"/>
      <c r="AB75" s="186">
        <v>54.3</v>
      </c>
      <c r="AC75" s="187">
        <v>108</v>
      </c>
      <c r="AD75" s="187">
        <v>2.8</v>
      </c>
      <c r="AE75" s="187">
        <v>5800</v>
      </c>
      <c r="AF75" s="234">
        <v>0</v>
      </c>
      <c r="AG75" s="234">
        <v>0</v>
      </c>
      <c r="AH75" s="239">
        <v>0</v>
      </c>
      <c r="AI75" s="239">
        <v>0</v>
      </c>
      <c r="AJ75" s="240">
        <v>16430</v>
      </c>
      <c r="AL75" s="194" t="s">
        <v>123</v>
      </c>
      <c r="AM75" s="194">
        <v>205</v>
      </c>
      <c r="AN75" s="217"/>
      <c r="AO75" s="217"/>
      <c r="AP75" s="217"/>
      <c r="AQ75" s="217"/>
      <c r="AR75" s="217"/>
      <c r="AS75" s="217"/>
      <c r="AT75" s="217"/>
    </row>
    <row r="76" spans="1:46" ht="20.25" customHeight="1">
      <c r="A76" s="83"/>
      <c r="B76" s="83"/>
      <c r="D76"/>
      <c r="E76" s="216">
        <v>54.3</v>
      </c>
      <c r="F76">
        <v>108</v>
      </c>
      <c r="G76">
        <v>2.8</v>
      </c>
      <c r="H76">
        <v>5800</v>
      </c>
      <c r="I76" s="222">
        <v>0</v>
      </c>
      <c r="J76" s="222">
        <v>0</v>
      </c>
      <c r="K76" s="219">
        <v>0</v>
      </c>
      <c r="L76" s="219">
        <v>0</v>
      </c>
      <c r="M76" s="219">
        <v>0</v>
      </c>
      <c r="N76" s="83">
        <v>16925</v>
      </c>
      <c r="O76" s="83"/>
      <c r="P76" s="83"/>
      <c r="Q76" s="83"/>
      <c r="R76" s="193"/>
      <c r="S76" s="193" t="s">
        <v>129</v>
      </c>
      <c r="T76" s="193" t="s">
        <v>130</v>
      </c>
      <c r="U76" s="193" t="s">
        <v>131</v>
      </c>
      <c r="V76" s="193" t="s">
        <v>132</v>
      </c>
      <c r="W76" s="193" t="s">
        <v>133</v>
      </c>
      <c r="X76" s="217"/>
      <c r="Y76" s="217"/>
      <c r="Z76" s="217"/>
      <c r="AB76" s="188">
        <v>54.3</v>
      </c>
      <c r="AC76" s="189">
        <v>108</v>
      </c>
      <c r="AD76" s="189">
        <v>2.8</v>
      </c>
      <c r="AE76" s="189">
        <v>5800</v>
      </c>
      <c r="AF76" s="235">
        <v>0</v>
      </c>
      <c r="AG76" s="235">
        <v>0</v>
      </c>
      <c r="AH76" s="241">
        <v>0</v>
      </c>
      <c r="AI76" s="241">
        <v>0</v>
      </c>
      <c r="AJ76" s="242">
        <v>16925</v>
      </c>
      <c r="AL76" s="217"/>
      <c r="AM76" s="217"/>
      <c r="AN76" s="217"/>
      <c r="AO76" s="217"/>
      <c r="AP76" s="217"/>
      <c r="AQ76" s="217"/>
      <c r="AR76" s="217"/>
      <c r="AS76" s="217"/>
      <c r="AT76" s="217"/>
    </row>
    <row r="77" spans="1:46" ht="20.25" customHeight="1" thickBot="1">
      <c r="A77" s="83"/>
      <c r="B77" s="83"/>
      <c r="D77"/>
      <c r="E77" s="216">
        <v>54.3</v>
      </c>
      <c r="F77">
        <v>164</v>
      </c>
      <c r="G77">
        <v>3.19</v>
      </c>
      <c r="H77">
        <v>4250</v>
      </c>
      <c r="I77" s="222">
        <v>0</v>
      </c>
      <c r="J77" s="222">
        <v>0</v>
      </c>
      <c r="K77" s="219">
        <v>0</v>
      </c>
      <c r="L77" s="219">
        <v>0</v>
      </c>
      <c r="M77" s="219">
        <v>0</v>
      </c>
      <c r="N77" s="83">
        <v>20970</v>
      </c>
      <c r="O77" s="83"/>
      <c r="P77" s="83"/>
      <c r="Q77" s="83"/>
      <c r="R77" s="192" t="s">
        <v>125</v>
      </c>
      <c r="S77" s="192">
        <v>11</v>
      </c>
      <c r="T77" s="192">
        <v>11130677017.130886</v>
      </c>
      <c r="U77" s="192">
        <v>1011879728.8300805</v>
      </c>
      <c r="V77" s="192">
        <v>103.38627881883068</v>
      </c>
      <c r="W77" s="192">
        <v>1.1483690488957735E-74</v>
      </c>
      <c r="X77" s="217"/>
      <c r="Y77" s="217"/>
      <c r="Z77" s="217"/>
      <c r="AB77" s="186">
        <v>54.3</v>
      </c>
      <c r="AC77" s="187">
        <v>164</v>
      </c>
      <c r="AD77" s="187">
        <v>3.19</v>
      </c>
      <c r="AE77" s="187">
        <v>4250</v>
      </c>
      <c r="AF77" s="234">
        <v>0</v>
      </c>
      <c r="AG77" s="234">
        <v>0</v>
      </c>
      <c r="AH77" s="239">
        <v>0</v>
      </c>
      <c r="AI77" s="239">
        <v>0</v>
      </c>
      <c r="AJ77" s="240">
        <v>20970</v>
      </c>
      <c r="AL77" s="217" t="s">
        <v>124</v>
      </c>
      <c r="AM77" s="217"/>
      <c r="AN77" s="217"/>
      <c r="AO77" s="217"/>
      <c r="AP77" s="217"/>
      <c r="AQ77" s="217"/>
      <c r="AR77" s="217"/>
      <c r="AS77" s="217"/>
      <c r="AT77" s="217"/>
    </row>
    <row r="78" spans="1:46" ht="20.25" customHeight="1">
      <c r="A78" s="83"/>
      <c r="B78" s="83"/>
      <c r="D78"/>
      <c r="E78" s="216">
        <v>54.3</v>
      </c>
      <c r="F78">
        <v>164</v>
      </c>
      <c r="G78">
        <v>3.19</v>
      </c>
      <c r="H78">
        <v>4250</v>
      </c>
      <c r="I78" s="222">
        <v>0</v>
      </c>
      <c r="J78" s="222">
        <v>0</v>
      </c>
      <c r="K78" s="219">
        <v>0</v>
      </c>
      <c r="L78" s="219">
        <v>0</v>
      </c>
      <c r="M78" s="219">
        <v>0</v>
      </c>
      <c r="N78" s="83">
        <v>21105</v>
      </c>
      <c r="O78" s="83"/>
      <c r="P78" s="83"/>
      <c r="Q78" s="83"/>
      <c r="R78" s="192" t="s">
        <v>126</v>
      </c>
      <c r="S78" s="192">
        <v>193</v>
      </c>
      <c r="T78" s="192">
        <v>1888962344.8622961</v>
      </c>
      <c r="U78" s="192">
        <v>9787369.6624989435</v>
      </c>
      <c r="V78" s="192"/>
      <c r="W78" s="192"/>
      <c r="X78" s="217"/>
      <c r="Y78" s="217"/>
      <c r="Z78" s="217"/>
      <c r="AB78" s="188">
        <v>54.3</v>
      </c>
      <c r="AC78" s="189">
        <v>164</v>
      </c>
      <c r="AD78" s="189">
        <v>3.19</v>
      </c>
      <c r="AE78" s="189">
        <v>4250</v>
      </c>
      <c r="AF78" s="235">
        <v>0</v>
      </c>
      <c r="AG78" s="235">
        <v>0</v>
      </c>
      <c r="AH78" s="241">
        <v>0</v>
      </c>
      <c r="AI78" s="241">
        <v>0</v>
      </c>
      <c r="AJ78" s="242">
        <v>21105</v>
      </c>
      <c r="AL78" s="193"/>
      <c r="AM78" s="193" t="s">
        <v>129</v>
      </c>
      <c r="AN78" s="193" t="s">
        <v>130</v>
      </c>
      <c r="AO78" s="193" t="s">
        <v>131</v>
      </c>
      <c r="AP78" s="193" t="s">
        <v>132</v>
      </c>
      <c r="AQ78" s="193" t="s">
        <v>133</v>
      </c>
      <c r="AR78" s="217"/>
      <c r="AS78" s="217"/>
      <c r="AT78" s="217"/>
    </row>
    <row r="79" spans="1:46" ht="20.25" customHeight="1" thickBot="1">
      <c r="A79" s="83"/>
      <c r="B79" s="83"/>
      <c r="D79"/>
      <c r="E79" s="216">
        <v>55.7</v>
      </c>
      <c r="F79">
        <v>164</v>
      </c>
      <c r="G79">
        <v>3.19</v>
      </c>
      <c r="H79">
        <v>4250</v>
      </c>
      <c r="I79" s="222">
        <v>0</v>
      </c>
      <c r="J79" s="222">
        <v>0</v>
      </c>
      <c r="K79" s="219">
        <v>0</v>
      </c>
      <c r="L79" s="219">
        <v>0</v>
      </c>
      <c r="M79" s="219">
        <v>0</v>
      </c>
      <c r="N79" s="83">
        <v>24565</v>
      </c>
      <c r="O79" s="83"/>
      <c r="P79" s="83"/>
      <c r="Q79" s="83"/>
      <c r="R79" s="194" t="s">
        <v>127</v>
      </c>
      <c r="S79" s="194">
        <v>204</v>
      </c>
      <c r="T79" s="194">
        <v>13019639361.993183</v>
      </c>
      <c r="U79" s="194"/>
      <c r="V79" s="194"/>
      <c r="W79" s="194"/>
      <c r="X79" s="217"/>
      <c r="Y79" s="217"/>
      <c r="Z79" s="217"/>
      <c r="AB79" s="186">
        <v>55.7</v>
      </c>
      <c r="AC79" s="187">
        <v>164</v>
      </c>
      <c r="AD79" s="187">
        <v>3.19</v>
      </c>
      <c r="AE79" s="187">
        <v>4250</v>
      </c>
      <c r="AF79" s="234">
        <v>0</v>
      </c>
      <c r="AG79" s="234">
        <v>0</v>
      </c>
      <c r="AH79" s="239">
        <v>0</v>
      </c>
      <c r="AI79" s="239">
        <v>0</v>
      </c>
      <c r="AJ79" s="240">
        <v>24565</v>
      </c>
      <c r="AL79" s="192" t="s">
        <v>125</v>
      </c>
      <c r="AM79" s="192">
        <v>8</v>
      </c>
      <c r="AN79" s="192">
        <v>11086530977.565125</v>
      </c>
      <c r="AO79" s="192">
        <v>1385816372.1956406</v>
      </c>
      <c r="AP79" s="192">
        <v>140.50945675801239</v>
      </c>
      <c r="AQ79" s="192">
        <v>6.8723081180653043E-77</v>
      </c>
      <c r="AR79" s="217"/>
      <c r="AS79" s="217"/>
      <c r="AT79" s="217"/>
    </row>
    <row r="80" spans="1:46" ht="20.25" customHeight="1" thickBot="1">
      <c r="A80" s="83"/>
      <c r="B80" s="83"/>
      <c r="D80"/>
      <c r="E80" s="216">
        <v>55.7</v>
      </c>
      <c r="F80">
        <v>209</v>
      </c>
      <c r="G80">
        <v>3.39</v>
      </c>
      <c r="H80">
        <v>5400</v>
      </c>
      <c r="I80" s="222">
        <v>0</v>
      </c>
      <c r="J80" s="222">
        <v>0</v>
      </c>
      <c r="K80" s="219">
        <v>0</v>
      </c>
      <c r="L80" s="219">
        <v>0</v>
      </c>
      <c r="M80" s="219">
        <v>0</v>
      </c>
      <c r="N80" s="83">
        <v>30760</v>
      </c>
      <c r="O80" s="83"/>
      <c r="P80" s="83"/>
      <c r="Q80" s="83"/>
      <c r="R80" s="217"/>
      <c r="S80" s="217"/>
      <c r="T80" s="217"/>
      <c r="U80" s="217"/>
      <c r="V80" s="217"/>
      <c r="W80" s="217"/>
      <c r="X80" s="217"/>
      <c r="Y80" s="217"/>
      <c r="Z80" s="217"/>
      <c r="AB80" s="188">
        <v>55.7</v>
      </c>
      <c r="AC80" s="189">
        <v>209</v>
      </c>
      <c r="AD80" s="189">
        <v>3.39</v>
      </c>
      <c r="AE80" s="189">
        <v>5400</v>
      </c>
      <c r="AF80" s="235">
        <v>0</v>
      </c>
      <c r="AG80" s="235">
        <v>0</v>
      </c>
      <c r="AH80" s="241">
        <v>0</v>
      </c>
      <c r="AI80" s="241">
        <v>0</v>
      </c>
      <c r="AJ80" s="242">
        <v>30760</v>
      </c>
      <c r="AL80" s="192" t="s">
        <v>126</v>
      </c>
      <c r="AM80" s="192">
        <v>196</v>
      </c>
      <c r="AN80" s="192">
        <v>1933108384.4280589</v>
      </c>
      <c r="AO80" s="192">
        <v>9862797.8797349948</v>
      </c>
      <c r="AP80" s="192"/>
      <c r="AQ80" s="192"/>
      <c r="AR80" s="217"/>
      <c r="AS80" s="217"/>
      <c r="AT80" s="217"/>
    </row>
    <row r="81" spans="1:46" ht="20.25" customHeight="1" thickBot="1">
      <c r="A81" s="83"/>
      <c r="B81" s="83"/>
      <c r="D81"/>
      <c r="E81" s="216">
        <v>53.7</v>
      </c>
      <c r="F81">
        <v>209</v>
      </c>
      <c r="G81">
        <v>3.39</v>
      </c>
      <c r="H81">
        <v>5400</v>
      </c>
      <c r="I81" s="222">
        <v>0</v>
      </c>
      <c r="J81" s="222">
        <v>0</v>
      </c>
      <c r="K81" s="219">
        <v>0</v>
      </c>
      <c r="L81" s="219">
        <v>0</v>
      </c>
      <c r="M81" s="219">
        <v>0</v>
      </c>
      <c r="N81" s="83">
        <v>41315</v>
      </c>
      <c r="O81" s="83"/>
      <c r="P81" s="83"/>
      <c r="Q81" s="83"/>
      <c r="R81" s="193"/>
      <c r="S81" s="193" t="s">
        <v>134</v>
      </c>
      <c r="T81" s="193" t="s">
        <v>122</v>
      </c>
      <c r="U81" s="193" t="s">
        <v>135</v>
      </c>
      <c r="V81" s="193" t="s">
        <v>136</v>
      </c>
      <c r="W81" s="193" t="s">
        <v>137</v>
      </c>
      <c r="X81" s="193" t="s">
        <v>138</v>
      </c>
      <c r="Y81" s="193" t="s">
        <v>139</v>
      </c>
      <c r="Z81" s="193" t="s">
        <v>140</v>
      </c>
      <c r="AB81" s="186">
        <v>53.7</v>
      </c>
      <c r="AC81" s="187">
        <v>209</v>
      </c>
      <c r="AD81" s="187">
        <v>3.39</v>
      </c>
      <c r="AE81" s="187">
        <v>5400</v>
      </c>
      <c r="AF81" s="234">
        <v>0</v>
      </c>
      <c r="AG81" s="234">
        <v>0</v>
      </c>
      <c r="AH81" s="239">
        <v>0</v>
      </c>
      <c r="AI81" s="239">
        <v>0</v>
      </c>
      <c r="AJ81" s="240">
        <v>41315</v>
      </c>
      <c r="AL81" s="194" t="s">
        <v>127</v>
      </c>
      <c r="AM81" s="194">
        <v>204</v>
      </c>
      <c r="AN81" s="194">
        <v>13019639361.993183</v>
      </c>
      <c r="AO81" s="194"/>
      <c r="AP81" s="194"/>
      <c r="AQ81" s="194"/>
      <c r="AR81" s="217"/>
      <c r="AS81" s="217"/>
      <c r="AT81" s="217"/>
    </row>
    <row r="82" spans="1:46" ht="20.25" customHeight="1" thickBot="1">
      <c r="A82" s="83"/>
      <c r="B82" s="83"/>
      <c r="D82"/>
      <c r="E82" s="216">
        <v>56.3</v>
      </c>
      <c r="F82">
        <v>209</v>
      </c>
      <c r="G82">
        <v>3.39</v>
      </c>
      <c r="H82">
        <v>5400</v>
      </c>
      <c r="I82" s="222">
        <v>0</v>
      </c>
      <c r="J82" s="222">
        <v>0</v>
      </c>
      <c r="K82" s="219">
        <v>0</v>
      </c>
      <c r="L82" s="219">
        <v>0</v>
      </c>
      <c r="M82" s="219">
        <v>0</v>
      </c>
      <c r="N82" s="83">
        <v>36880</v>
      </c>
      <c r="O82" s="83"/>
      <c r="P82" s="83"/>
      <c r="Q82" s="83"/>
      <c r="R82" s="192" t="s">
        <v>128</v>
      </c>
      <c r="S82" s="192">
        <v>-26893.043310297613</v>
      </c>
      <c r="T82" s="192">
        <v>8585.6460987907994</v>
      </c>
      <c r="U82" s="192">
        <v>-3.132326094140454</v>
      </c>
      <c r="V82" s="192">
        <v>2.0043370323087604E-3</v>
      </c>
      <c r="W82" s="192">
        <v>-43826.785068114907</v>
      </c>
      <c r="X82" s="192">
        <v>-9959.3015524803213</v>
      </c>
      <c r="Y82" s="192">
        <v>-43826.785068114907</v>
      </c>
      <c r="Z82" s="192">
        <v>-9959.3015524803213</v>
      </c>
      <c r="AB82" s="188">
        <v>56.3</v>
      </c>
      <c r="AC82" s="189">
        <v>209</v>
      </c>
      <c r="AD82" s="189">
        <v>3.39</v>
      </c>
      <c r="AE82" s="189">
        <v>5400</v>
      </c>
      <c r="AF82" s="235">
        <v>0</v>
      </c>
      <c r="AG82" s="235">
        <v>0</v>
      </c>
      <c r="AH82" s="241">
        <v>0</v>
      </c>
      <c r="AI82" s="241">
        <v>0</v>
      </c>
      <c r="AJ82" s="242">
        <v>36880</v>
      </c>
      <c r="AL82" s="217"/>
      <c r="AM82" s="217"/>
      <c r="AN82" s="217"/>
      <c r="AO82" s="217"/>
      <c r="AP82" s="217"/>
      <c r="AQ82" s="217"/>
      <c r="AR82" s="217"/>
      <c r="AS82" s="217"/>
      <c r="AT82" s="217"/>
    </row>
    <row r="83" spans="1:46" ht="20.25" customHeight="1">
      <c r="A83" s="83"/>
      <c r="B83" s="83"/>
      <c r="D83"/>
      <c r="E83" s="216">
        <v>53.2</v>
      </c>
      <c r="F83">
        <v>61</v>
      </c>
      <c r="G83">
        <v>3.03</v>
      </c>
      <c r="H83">
        <v>5100</v>
      </c>
      <c r="I83" s="222">
        <v>0</v>
      </c>
      <c r="J83" s="222">
        <v>0</v>
      </c>
      <c r="K83" s="219">
        <v>0</v>
      </c>
      <c r="L83" s="219">
        <v>1</v>
      </c>
      <c r="M83" s="219">
        <v>0</v>
      </c>
      <c r="N83" s="83">
        <v>5151</v>
      </c>
      <c r="O83" s="83"/>
      <c r="P83" s="83"/>
      <c r="Q83" s="83"/>
      <c r="R83" s="196" t="s">
        <v>70</v>
      </c>
      <c r="S83" s="192">
        <v>137.04146904063927</v>
      </c>
      <c r="T83" s="192">
        <v>215.23561214562801</v>
      </c>
      <c r="U83" s="192">
        <v>0.63670443601088311</v>
      </c>
      <c r="V83" s="196">
        <v>0.52507182958095067</v>
      </c>
      <c r="W83" s="192">
        <v>-287.4745465534711</v>
      </c>
      <c r="X83" s="192">
        <v>561.55748463474958</v>
      </c>
      <c r="Y83" s="192">
        <v>-287.4745465534711</v>
      </c>
      <c r="Z83" s="192">
        <v>561.55748463474958</v>
      </c>
      <c r="AB83" s="186">
        <v>53.2</v>
      </c>
      <c r="AC83" s="187">
        <v>61</v>
      </c>
      <c r="AD83" s="187">
        <v>3.03</v>
      </c>
      <c r="AE83" s="187">
        <v>5100</v>
      </c>
      <c r="AF83" s="234">
        <v>0</v>
      </c>
      <c r="AG83" s="234">
        <v>0</v>
      </c>
      <c r="AH83" s="239">
        <v>1</v>
      </c>
      <c r="AI83" s="239">
        <v>0</v>
      </c>
      <c r="AJ83" s="240">
        <v>5151</v>
      </c>
      <c r="AL83" s="193"/>
      <c r="AM83" s="193" t="s">
        <v>134</v>
      </c>
      <c r="AN83" s="193" t="s">
        <v>122</v>
      </c>
      <c r="AO83" s="193" t="s">
        <v>135</v>
      </c>
      <c r="AP83" s="193" t="s">
        <v>136</v>
      </c>
      <c r="AQ83" s="193" t="s">
        <v>137</v>
      </c>
      <c r="AR83" s="193" t="s">
        <v>138</v>
      </c>
      <c r="AS83" s="193" t="s">
        <v>139</v>
      </c>
      <c r="AT83" s="193" t="s">
        <v>140</v>
      </c>
    </row>
    <row r="84" spans="1:46" ht="20.25" customHeight="1">
      <c r="A84" s="83"/>
      <c r="B84" s="83"/>
      <c r="D84"/>
      <c r="E84" s="216">
        <v>52</v>
      </c>
      <c r="F84">
        <v>90</v>
      </c>
      <c r="G84">
        <v>3.11</v>
      </c>
      <c r="H84">
        <v>5400</v>
      </c>
      <c r="I84" s="222">
        <v>0</v>
      </c>
      <c r="J84" s="222">
        <v>0</v>
      </c>
      <c r="K84" s="219">
        <v>0</v>
      </c>
      <c r="L84" s="219">
        <v>1</v>
      </c>
      <c r="M84" s="219">
        <v>0</v>
      </c>
      <c r="N84" s="83">
        <v>6295</v>
      </c>
      <c r="O84" s="83"/>
      <c r="P84" s="83"/>
      <c r="Q84" s="83"/>
      <c r="R84" s="192" t="s">
        <v>74</v>
      </c>
      <c r="S84" s="192">
        <v>351.20493018190183</v>
      </c>
      <c r="T84" s="192">
        <v>112.72362185051989</v>
      </c>
      <c r="U84" s="192">
        <v>3.1156285117206961</v>
      </c>
      <c r="V84" s="192">
        <v>2.1155123782099555E-3</v>
      </c>
      <c r="W84" s="192">
        <v>128.87656019569962</v>
      </c>
      <c r="X84" s="192">
        <v>573.53330016810401</v>
      </c>
      <c r="Y84" s="192">
        <v>128.87656019569962</v>
      </c>
      <c r="Z84" s="192">
        <v>573.53330016810401</v>
      </c>
      <c r="AB84" s="188">
        <v>52</v>
      </c>
      <c r="AC84" s="189">
        <v>90</v>
      </c>
      <c r="AD84" s="189">
        <v>3.11</v>
      </c>
      <c r="AE84" s="189">
        <v>5400</v>
      </c>
      <c r="AF84" s="235">
        <v>0</v>
      </c>
      <c r="AG84" s="235">
        <v>0</v>
      </c>
      <c r="AH84" s="241">
        <v>1</v>
      </c>
      <c r="AI84" s="241">
        <v>0</v>
      </c>
      <c r="AJ84" s="242">
        <v>6295</v>
      </c>
      <c r="AL84" s="192" t="s">
        <v>128</v>
      </c>
      <c r="AM84" s="192">
        <v>-31115.144865709535</v>
      </c>
      <c r="AN84" s="192">
        <v>7075.9209871233652</v>
      </c>
      <c r="AO84" s="192">
        <v>-4.3973279128373992</v>
      </c>
      <c r="AP84" s="192">
        <v>1.7957726064911906E-5</v>
      </c>
      <c r="AQ84" s="192">
        <v>-45069.860325639085</v>
      </c>
      <c r="AR84" s="192">
        <v>-17160.429405779989</v>
      </c>
      <c r="AS84" s="192">
        <v>-45069.860325639085</v>
      </c>
      <c r="AT84" s="192">
        <v>-17160.429405779989</v>
      </c>
    </row>
    <row r="85" spans="1:46" ht="20.25" customHeight="1">
      <c r="A85" s="83"/>
      <c r="B85" s="83"/>
      <c r="D85"/>
      <c r="E85" s="216">
        <v>52</v>
      </c>
      <c r="F85">
        <v>90</v>
      </c>
      <c r="G85">
        <v>3.11</v>
      </c>
      <c r="H85">
        <v>5400</v>
      </c>
      <c r="I85" s="222">
        <v>0</v>
      </c>
      <c r="J85" s="222">
        <v>0</v>
      </c>
      <c r="K85" s="219">
        <v>0</v>
      </c>
      <c r="L85" s="219">
        <v>1</v>
      </c>
      <c r="M85" s="219">
        <v>0</v>
      </c>
      <c r="N85" s="83">
        <v>6575</v>
      </c>
      <c r="O85" s="83"/>
      <c r="P85" s="83"/>
      <c r="Q85" s="83"/>
      <c r="R85" s="192" t="s">
        <v>76</v>
      </c>
      <c r="S85" s="192">
        <v>157.7095120394236</v>
      </c>
      <c r="T85" s="192">
        <v>7.6095516355758663</v>
      </c>
      <c r="U85" s="192">
        <v>20.725204268554602</v>
      </c>
      <c r="V85" s="192">
        <v>5.7243193151796551E-51</v>
      </c>
      <c r="W85" s="192">
        <v>142.70095230997396</v>
      </c>
      <c r="X85" s="192">
        <v>172.71807176887324</v>
      </c>
      <c r="Y85" s="192">
        <v>142.70095230997396</v>
      </c>
      <c r="Z85" s="192">
        <v>172.71807176887324</v>
      </c>
      <c r="AB85" s="186">
        <v>52</v>
      </c>
      <c r="AC85" s="187">
        <v>90</v>
      </c>
      <c r="AD85" s="187">
        <v>3.11</v>
      </c>
      <c r="AE85" s="187">
        <v>5400</v>
      </c>
      <c r="AF85" s="234">
        <v>0</v>
      </c>
      <c r="AG85" s="234">
        <v>0</v>
      </c>
      <c r="AH85" s="239">
        <v>1</v>
      </c>
      <c r="AI85" s="239">
        <v>0</v>
      </c>
      <c r="AJ85" s="240">
        <v>6575</v>
      </c>
      <c r="AL85" s="192" t="s">
        <v>74</v>
      </c>
      <c r="AM85" s="192">
        <v>279.22610835038478</v>
      </c>
      <c r="AN85" s="192">
        <v>97.442394605969184</v>
      </c>
      <c r="AO85" s="192">
        <v>2.8655505591739612</v>
      </c>
      <c r="AP85" s="192">
        <v>4.6171524608391154E-3</v>
      </c>
      <c r="AQ85" s="192">
        <v>87.055945210494045</v>
      </c>
      <c r="AR85" s="192">
        <v>471.39627149027552</v>
      </c>
      <c r="AS85" s="192">
        <v>87.055945210494045</v>
      </c>
      <c r="AT85" s="192">
        <v>471.39627149027552</v>
      </c>
    </row>
    <row r="86" spans="1:46" ht="20.25" customHeight="1">
      <c r="A86" s="83"/>
      <c r="B86" s="83"/>
      <c r="D86"/>
      <c r="E86" s="216">
        <v>50.8</v>
      </c>
      <c r="F86">
        <v>90</v>
      </c>
      <c r="G86">
        <v>3.23</v>
      </c>
      <c r="H86">
        <v>5500</v>
      </c>
      <c r="I86" s="222">
        <v>0</v>
      </c>
      <c r="J86" s="222">
        <v>0</v>
      </c>
      <c r="K86" s="219">
        <v>0</v>
      </c>
      <c r="L86" s="219">
        <v>1</v>
      </c>
      <c r="M86" s="219">
        <v>0</v>
      </c>
      <c r="N86" s="83">
        <v>5572</v>
      </c>
      <c r="O86" s="83"/>
      <c r="P86" s="83"/>
      <c r="Q86" s="83"/>
      <c r="R86" s="196" t="s">
        <v>77</v>
      </c>
      <c r="S86" s="192">
        <v>-1613.0912151351383</v>
      </c>
      <c r="T86" s="192">
        <v>1164.7131818314731</v>
      </c>
      <c r="U86" s="192">
        <v>-1.3849686260085128</v>
      </c>
      <c r="V86" s="196">
        <v>0.16766087173222768</v>
      </c>
      <c r="W86" s="192">
        <v>-3910.2919168782064</v>
      </c>
      <c r="X86" s="192">
        <v>684.10948660792985</v>
      </c>
      <c r="Y86" s="192">
        <v>-3910.2919168782064</v>
      </c>
      <c r="Z86" s="192">
        <v>684.10948660792985</v>
      </c>
      <c r="AB86" s="188">
        <v>50.8</v>
      </c>
      <c r="AC86" s="189">
        <v>90</v>
      </c>
      <c r="AD86" s="189">
        <v>3.23</v>
      </c>
      <c r="AE86" s="189">
        <v>5500</v>
      </c>
      <c r="AF86" s="235">
        <v>0</v>
      </c>
      <c r="AG86" s="235">
        <v>0</v>
      </c>
      <c r="AH86" s="241">
        <v>1</v>
      </c>
      <c r="AI86" s="241">
        <v>0</v>
      </c>
      <c r="AJ86" s="242">
        <v>5572</v>
      </c>
      <c r="AL86" s="192" t="s">
        <v>76</v>
      </c>
      <c r="AM86" s="192">
        <v>156.68447000280199</v>
      </c>
      <c r="AN86" s="192">
        <v>6.9919314708602842</v>
      </c>
      <c r="AO86" s="192">
        <v>22.40932575723938</v>
      </c>
      <c r="AP86" s="192">
        <v>5.7329607467887543E-56</v>
      </c>
      <c r="AQ86" s="192">
        <v>142.8953937300823</v>
      </c>
      <c r="AR86" s="192">
        <v>170.47354627552167</v>
      </c>
      <c r="AS86" s="192">
        <v>142.8953937300823</v>
      </c>
      <c r="AT86" s="192">
        <v>170.47354627552167</v>
      </c>
    </row>
    <row r="87" spans="1:46" ht="20.25" customHeight="1">
      <c r="A87" s="83"/>
      <c r="B87" s="83"/>
      <c r="D87"/>
      <c r="E87" s="216">
        <v>50.8</v>
      </c>
      <c r="F87">
        <v>90</v>
      </c>
      <c r="G87">
        <v>3.23</v>
      </c>
      <c r="H87">
        <v>5500</v>
      </c>
      <c r="I87" s="222">
        <v>0</v>
      </c>
      <c r="J87" s="222">
        <v>0</v>
      </c>
      <c r="K87" s="219">
        <v>0</v>
      </c>
      <c r="L87" s="219">
        <v>1</v>
      </c>
      <c r="M87" s="219">
        <v>0</v>
      </c>
      <c r="N87" s="83">
        <v>6377</v>
      </c>
      <c r="O87" s="83"/>
      <c r="P87" s="83"/>
      <c r="Q87" s="83"/>
      <c r="R87" s="192" t="s">
        <v>78</v>
      </c>
      <c r="S87" s="192">
        <v>-2190.7242300800763</v>
      </c>
      <c r="T87" s="192">
        <v>817.63492194031619</v>
      </c>
      <c r="U87" s="192">
        <v>-2.6793427864863015</v>
      </c>
      <c r="V87" s="192">
        <v>8.0137277165274346E-3</v>
      </c>
      <c r="W87" s="192">
        <v>-3803.3714858597464</v>
      </c>
      <c r="X87" s="192">
        <v>-578.07697430040605</v>
      </c>
      <c r="Y87" s="192">
        <v>-3803.3714858597464</v>
      </c>
      <c r="Z87" s="192">
        <v>-578.07697430040605</v>
      </c>
      <c r="AB87" s="186">
        <v>50.8</v>
      </c>
      <c r="AC87" s="187">
        <v>90</v>
      </c>
      <c r="AD87" s="187">
        <v>3.23</v>
      </c>
      <c r="AE87" s="187">
        <v>5500</v>
      </c>
      <c r="AF87" s="234">
        <v>0</v>
      </c>
      <c r="AG87" s="234">
        <v>0</v>
      </c>
      <c r="AH87" s="239">
        <v>1</v>
      </c>
      <c r="AI87" s="239">
        <v>0</v>
      </c>
      <c r="AJ87" s="240">
        <v>6377</v>
      </c>
      <c r="AL87" s="192" t="s">
        <v>78</v>
      </c>
      <c r="AM87" s="192">
        <v>-1921.9914247620227</v>
      </c>
      <c r="AN87" s="192">
        <v>810.13426388804453</v>
      </c>
      <c r="AO87" s="192">
        <v>-2.3724356695369075</v>
      </c>
      <c r="AP87" s="192">
        <v>1.863927395834418E-2</v>
      </c>
      <c r="AQ87" s="192">
        <v>-3519.690601656469</v>
      </c>
      <c r="AR87" s="192">
        <v>-324.29224786757635</v>
      </c>
      <c r="AS87" s="192">
        <v>-3519.690601656469</v>
      </c>
      <c r="AT87" s="192">
        <v>-324.29224786757635</v>
      </c>
    </row>
    <row r="88" spans="1:46" ht="20.25" customHeight="1">
      <c r="A88" s="83"/>
      <c r="B88" s="83"/>
      <c r="D88"/>
      <c r="E88" s="216">
        <v>50.8</v>
      </c>
      <c r="F88">
        <v>98</v>
      </c>
      <c r="G88">
        <v>3.39</v>
      </c>
      <c r="H88">
        <v>5500</v>
      </c>
      <c r="I88" s="222">
        <v>0</v>
      </c>
      <c r="J88" s="222">
        <v>1</v>
      </c>
      <c r="K88" s="219">
        <v>0</v>
      </c>
      <c r="L88" s="219">
        <v>1</v>
      </c>
      <c r="M88" s="219">
        <v>0</v>
      </c>
      <c r="N88" s="83">
        <v>7957</v>
      </c>
      <c r="O88" s="83"/>
      <c r="P88" s="83"/>
      <c r="Q88" s="83"/>
      <c r="R88" s="192" t="s">
        <v>81</v>
      </c>
      <c r="S88" s="192">
        <v>2.897849756718871</v>
      </c>
      <c r="T88" s="192">
        <v>0.59661332044195081</v>
      </c>
      <c r="U88" s="192">
        <v>4.8571657008466431</v>
      </c>
      <c r="V88" s="192">
        <v>2.4557348391427516E-6</v>
      </c>
      <c r="W88" s="192">
        <v>1.7211304066095321</v>
      </c>
      <c r="X88" s="192">
        <v>4.0745691068282097</v>
      </c>
      <c r="Y88" s="192">
        <v>1.7211304066095321</v>
      </c>
      <c r="Z88" s="192">
        <v>4.0745691068282097</v>
      </c>
      <c r="AB88" s="188">
        <v>50.8</v>
      </c>
      <c r="AC88" s="189">
        <v>98</v>
      </c>
      <c r="AD88" s="189">
        <v>3.39</v>
      </c>
      <c r="AE88" s="189">
        <v>5500</v>
      </c>
      <c r="AF88" s="235">
        <v>0</v>
      </c>
      <c r="AG88" s="235">
        <v>1</v>
      </c>
      <c r="AH88" s="241">
        <v>1</v>
      </c>
      <c r="AI88" s="241">
        <v>0</v>
      </c>
      <c r="AJ88" s="242">
        <v>7957</v>
      </c>
      <c r="AL88" s="192" t="s">
        <v>81</v>
      </c>
      <c r="AM88" s="192">
        <v>3.2210388846643014</v>
      </c>
      <c r="AN88" s="192">
        <v>0.57841251483937539</v>
      </c>
      <c r="AO88" s="192">
        <v>5.5687572485508561</v>
      </c>
      <c r="AP88" s="192">
        <v>8.3772621141229185E-8</v>
      </c>
      <c r="AQ88" s="192">
        <v>2.0803277210243625</v>
      </c>
      <c r="AR88" s="192">
        <v>4.3617500483042404</v>
      </c>
      <c r="AS88" s="192">
        <v>2.0803277210243625</v>
      </c>
      <c r="AT88" s="192">
        <v>4.3617500483042404</v>
      </c>
    </row>
    <row r="89" spans="1:46" ht="20.25" customHeight="1">
      <c r="A89" s="83"/>
      <c r="B89" s="83"/>
      <c r="D89"/>
      <c r="E89" s="216">
        <v>50.6</v>
      </c>
      <c r="F89">
        <v>90</v>
      </c>
      <c r="G89">
        <v>3.23</v>
      </c>
      <c r="H89">
        <v>5500</v>
      </c>
      <c r="I89" s="222">
        <v>0</v>
      </c>
      <c r="J89" s="222">
        <v>0</v>
      </c>
      <c r="K89" s="219">
        <v>0</v>
      </c>
      <c r="L89" s="219">
        <v>1</v>
      </c>
      <c r="M89" s="219">
        <v>0</v>
      </c>
      <c r="N89" s="83">
        <v>6229</v>
      </c>
      <c r="O89" s="83"/>
      <c r="P89" s="83"/>
      <c r="Q89" s="83"/>
      <c r="R89" s="196" t="s">
        <v>9</v>
      </c>
      <c r="S89" s="192">
        <v>1967.0130895836053</v>
      </c>
      <c r="T89" s="192">
        <v>988.30402114223216</v>
      </c>
      <c r="U89" s="192">
        <v>1.9902914968515764</v>
      </c>
      <c r="V89" s="196">
        <v>4.7970238841899632E-2</v>
      </c>
      <c r="W89" s="192">
        <v>17.7497633684692</v>
      </c>
      <c r="X89" s="192">
        <v>3916.2764157987413</v>
      </c>
      <c r="Y89" s="192">
        <v>17.7497633684692</v>
      </c>
      <c r="Z89" s="192">
        <v>3916.2764157987413</v>
      </c>
      <c r="AB89" s="186">
        <v>50.6</v>
      </c>
      <c r="AC89" s="187">
        <v>90</v>
      </c>
      <c r="AD89" s="187">
        <v>3.23</v>
      </c>
      <c r="AE89" s="187">
        <v>5500</v>
      </c>
      <c r="AF89" s="234">
        <v>0</v>
      </c>
      <c r="AG89" s="234">
        <v>0</v>
      </c>
      <c r="AH89" s="239">
        <v>1</v>
      </c>
      <c r="AI89" s="239">
        <v>0</v>
      </c>
      <c r="AJ89" s="240">
        <v>6229</v>
      </c>
      <c r="AL89" s="192" t="s">
        <v>9</v>
      </c>
      <c r="AM89" s="192">
        <v>2491.5545574880985</v>
      </c>
      <c r="AN89" s="192">
        <v>955.49910988177066</v>
      </c>
      <c r="AO89" s="192">
        <v>2.6075948493519712</v>
      </c>
      <c r="AP89" s="192">
        <v>9.8198692523397291E-3</v>
      </c>
      <c r="AQ89" s="192">
        <v>607.1753756288706</v>
      </c>
      <c r="AR89" s="192">
        <v>4375.9337393473261</v>
      </c>
      <c r="AS89" s="192">
        <v>607.1753756288706</v>
      </c>
      <c r="AT89" s="192">
        <v>4375.9337393473261</v>
      </c>
    </row>
    <row r="90" spans="1:46" ht="20.25" customHeight="1">
      <c r="A90" s="83"/>
      <c r="B90" s="83"/>
      <c r="D90"/>
      <c r="E90" s="216">
        <v>50.6</v>
      </c>
      <c r="F90">
        <v>90</v>
      </c>
      <c r="G90">
        <v>3.23</v>
      </c>
      <c r="H90">
        <v>5500</v>
      </c>
      <c r="I90" s="222">
        <v>0</v>
      </c>
      <c r="J90" s="222">
        <v>0</v>
      </c>
      <c r="K90" s="219">
        <v>0</v>
      </c>
      <c r="L90" s="219">
        <v>1</v>
      </c>
      <c r="M90" s="219">
        <v>0</v>
      </c>
      <c r="N90" s="83">
        <v>6692</v>
      </c>
      <c r="O90" s="83"/>
      <c r="P90" s="83"/>
      <c r="Q90" s="83"/>
      <c r="R90" s="192" t="s">
        <v>8</v>
      </c>
      <c r="S90" s="192">
        <v>2027.8398956789981</v>
      </c>
      <c r="T90" s="192">
        <v>658.70951516381263</v>
      </c>
      <c r="U90" s="192">
        <v>3.0785040279472815</v>
      </c>
      <c r="V90" s="192">
        <v>2.3834106048969124E-3</v>
      </c>
      <c r="W90" s="192">
        <v>728.64625377335028</v>
      </c>
      <c r="X90" s="192">
        <v>3327.0335375846462</v>
      </c>
      <c r="Y90" s="192">
        <v>728.64625377335028</v>
      </c>
      <c r="Z90" s="192">
        <v>3327.0335375846462</v>
      </c>
      <c r="AB90" s="188">
        <v>50.6</v>
      </c>
      <c r="AC90" s="189">
        <v>90</v>
      </c>
      <c r="AD90" s="189">
        <v>3.23</v>
      </c>
      <c r="AE90" s="189">
        <v>5500</v>
      </c>
      <c r="AF90" s="235">
        <v>0</v>
      </c>
      <c r="AG90" s="235">
        <v>0</v>
      </c>
      <c r="AH90" s="241">
        <v>1</v>
      </c>
      <c r="AI90" s="241">
        <v>0</v>
      </c>
      <c r="AJ90" s="242">
        <v>6692</v>
      </c>
      <c r="AL90" s="192" t="s">
        <v>8</v>
      </c>
      <c r="AM90" s="192">
        <v>1693.8859256350627</v>
      </c>
      <c r="AN90" s="192">
        <v>636.78465645295739</v>
      </c>
      <c r="AO90" s="192">
        <v>2.6600608360609876</v>
      </c>
      <c r="AP90" s="192">
        <v>8.4594417703959448E-3</v>
      </c>
      <c r="AQ90" s="192">
        <v>438.05665532228431</v>
      </c>
      <c r="AR90" s="192">
        <v>2949.715195947841</v>
      </c>
      <c r="AS90" s="192">
        <v>438.05665532228431</v>
      </c>
      <c r="AT90" s="192">
        <v>2949.715195947841</v>
      </c>
    </row>
    <row r="91" spans="1:46" ht="20.25" customHeight="1">
      <c r="A91" s="83"/>
      <c r="B91" s="83"/>
      <c r="D91"/>
      <c r="E91" s="216">
        <v>50.6</v>
      </c>
      <c r="F91">
        <v>90</v>
      </c>
      <c r="G91">
        <v>3.23</v>
      </c>
      <c r="H91">
        <v>5500</v>
      </c>
      <c r="I91" s="222">
        <v>0</v>
      </c>
      <c r="J91" s="222">
        <v>0</v>
      </c>
      <c r="K91" s="219">
        <v>0</v>
      </c>
      <c r="L91" s="219">
        <v>1</v>
      </c>
      <c r="M91" s="219">
        <v>0</v>
      </c>
      <c r="N91" s="83">
        <v>7609</v>
      </c>
      <c r="O91" s="83"/>
      <c r="P91" s="83"/>
      <c r="Q91" s="83"/>
      <c r="R91" s="196" t="s">
        <v>7</v>
      </c>
      <c r="S91" s="192">
        <v>-1996.7972572721337</v>
      </c>
      <c r="T91" s="192">
        <v>1210.3542624504953</v>
      </c>
      <c r="U91" s="192">
        <v>-1.649762651497916</v>
      </c>
      <c r="V91" s="196">
        <v>0.10061804395769648</v>
      </c>
      <c r="W91" s="192">
        <v>-4384.0173080376471</v>
      </c>
      <c r="X91" s="192">
        <v>390.42279349337946</v>
      </c>
      <c r="Y91" s="192">
        <v>-4384.0173080376471</v>
      </c>
      <c r="Z91" s="192">
        <v>390.42279349337946</v>
      </c>
      <c r="AB91" s="186">
        <v>50.6</v>
      </c>
      <c r="AC91" s="187">
        <v>90</v>
      </c>
      <c r="AD91" s="187">
        <v>3.23</v>
      </c>
      <c r="AE91" s="187">
        <v>5500</v>
      </c>
      <c r="AF91" s="234">
        <v>0</v>
      </c>
      <c r="AG91" s="234">
        <v>0</v>
      </c>
      <c r="AH91" s="239">
        <v>1</v>
      </c>
      <c r="AI91" s="239">
        <v>0</v>
      </c>
      <c r="AJ91" s="240">
        <v>7609</v>
      </c>
      <c r="AL91" s="192" t="s">
        <v>6</v>
      </c>
      <c r="AM91" s="192">
        <v>-2395.9205000966545</v>
      </c>
      <c r="AN91" s="192">
        <v>553.19758370107513</v>
      </c>
      <c r="AO91" s="192">
        <v>-4.3310393441474426</v>
      </c>
      <c r="AP91" s="192">
        <v>2.3671176103471433E-5</v>
      </c>
      <c r="AQ91" s="192">
        <v>-3486.9042586373816</v>
      </c>
      <c r="AR91" s="192">
        <v>-1304.936741555927</v>
      </c>
      <c r="AS91" s="192">
        <v>-3486.9042586373816</v>
      </c>
      <c r="AT91" s="192">
        <v>-1304.936741555927</v>
      </c>
    </row>
    <row r="92" spans="1:46" ht="20.25" customHeight="1" thickBot="1">
      <c r="A92" s="83"/>
      <c r="B92" s="83"/>
      <c r="D92"/>
      <c r="E92" s="216">
        <v>50.6</v>
      </c>
      <c r="F92">
        <v>98</v>
      </c>
      <c r="G92">
        <v>3.39</v>
      </c>
      <c r="H92">
        <v>5500</v>
      </c>
      <c r="I92" s="222">
        <v>0</v>
      </c>
      <c r="J92" s="222">
        <v>1</v>
      </c>
      <c r="K92" s="219">
        <v>0</v>
      </c>
      <c r="L92" s="219">
        <v>1</v>
      </c>
      <c r="M92" s="219">
        <v>0</v>
      </c>
      <c r="N92" s="83">
        <v>8558</v>
      </c>
      <c r="O92" s="83"/>
      <c r="P92" s="83"/>
      <c r="Q92" s="83"/>
      <c r="R92" s="192" t="s">
        <v>6</v>
      </c>
      <c r="S92" s="192">
        <v>-3002.5466232628078</v>
      </c>
      <c r="T92" s="192">
        <v>626.48929731010446</v>
      </c>
      <c r="U92" s="192">
        <v>-4.7926542977741953</v>
      </c>
      <c r="V92" s="192">
        <v>3.2777690597586136E-6</v>
      </c>
      <c r="W92" s="192">
        <v>-4238.1913088945475</v>
      </c>
      <c r="X92" s="192">
        <v>-1766.9019376310682</v>
      </c>
      <c r="Y92" s="192">
        <v>-4238.1913088945475</v>
      </c>
      <c r="Z92" s="192">
        <v>-1766.9019376310682</v>
      </c>
      <c r="AB92" s="188">
        <v>50.6</v>
      </c>
      <c r="AC92" s="189">
        <v>98</v>
      </c>
      <c r="AD92" s="189">
        <v>3.39</v>
      </c>
      <c r="AE92" s="189">
        <v>5500</v>
      </c>
      <c r="AF92" s="235">
        <v>0</v>
      </c>
      <c r="AG92" s="235">
        <v>1</v>
      </c>
      <c r="AH92" s="241">
        <v>1</v>
      </c>
      <c r="AI92" s="241">
        <v>0</v>
      </c>
      <c r="AJ92" s="242">
        <v>8558</v>
      </c>
      <c r="AL92" s="194" t="s">
        <v>10</v>
      </c>
      <c r="AM92" s="194">
        <v>7407.9362065765699</v>
      </c>
      <c r="AN92" s="194">
        <v>1992.4187431648847</v>
      </c>
      <c r="AO92" s="194">
        <v>3.7180618943632968</v>
      </c>
      <c r="AP92" s="194">
        <v>2.6197297818258833E-4</v>
      </c>
      <c r="AQ92" s="194">
        <v>3478.6050723690259</v>
      </c>
      <c r="AR92" s="194">
        <v>11337.267340784114</v>
      </c>
      <c r="AS92" s="194">
        <v>3478.6050723690259</v>
      </c>
      <c r="AT92" s="194">
        <v>11337.267340784114</v>
      </c>
    </row>
    <row r="93" spans="1:46" ht="20.25" customHeight="1" thickBot="1">
      <c r="A93" s="83"/>
      <c r="B93" s="83"/>
      <c r="D93"/>
      <c r="E93" s="216">
        <v>59.8</v>
      </c>
      <c r="F93">
        <v>122</v>
      </c>
      <c r="G93">
        <v>3.46</v>
      </c>
      <c r="H93">
        <v>5000</v>
      </c>
      <c r="I93" s="222">
        <v>0</v>
      </c>
      <c r="J93" s="222">
        <v>0</v>
      </c>
      <c r="K93" s="219">
        <v>0</v>
      </c>
      <c r="L93" s="219">
        <v>1</v>
      </c>
      <c r="M93" s="219">
        <v>0</v>
      </c>
      <c r="N93" s="83">
        <v>8921</v>
      </c>
      <c r="O93" s="83"/>
      <c r="P93" s="83"/>
      <c r="Q93" s="83"/>
      <c r="R93" s="194" t="s">
        <v>10</v>
      </c>
      <c r="S93" s="194">
        <v>7580.8470173376754</v>
      </c>
      <c r="T93" s="194">
        <v>2039.5305305022355</v>
      </c>
      <c r="U93" s="194">
        <v>3.7169568702023246</v>
      </c>
      <c r="V93" s="194">
        <v>2.640862356715229E-4</v>
      </c>
      <c r="W93" s="194">
        <v>3558.2163482756082</v>
      </c>
      <c r="X93" s="194">
        <v>11603.477686399743</v>
      </c>
      <c r="Y93" s="194">
        <v>3558.2163482756082</v>
      </c>
      <c r="Z93" s="194">
        <v>11603.477686399743</v>
      </c>
      <c r="AB93" s="186">
        <v>59.8</v>
      </c>
      <c r="AC93" s="187">
        <v>122</v>
      </c>
      <c r="AD93" s="187">
        <v>3.46</v>
      </c>
      <c r="AE93" s="187">
        <v>5000</v>
      </c>
      <c r="AF93" s="234">
        <v>0</v>
      </c>
      <c r="AG93" s="234">
        <v>0</v>
      </c>
      <c r="AH93" s="239">
        <v>1</v>
      </c>
      <c r="AI93" s="239">
        <v>0</v>
      </c>
      <c r="AJ93" s="240">
        <v>8921</v>
      </c>
      <c r="AL93" s="217"/>
      <c r="AM93" s="217"/>
      <c r="AN93" s="217"/>
      <c r="AO93" s="217"/>
      <c r="AP93" s="217"/>
      <c r="AQ93" s="217"/>
      <c r="AR93" s="217"/>
      <c r="AS93" s="217"/>
      <c r="AT93" s="217"/>
    </row>
    <row r="94" spans="1:46" ht="20.25" customHeight="1">
      <c r="A94" s="83"/>
      <c r="B94" s="83"/>
      <c r="D94"/>
      <c r="E94" s="216">
        <v>50.2</v>
      </c>
      <c r="F94">
        <v>156</v>
      </c>
      <c r="G94">
        <v>3.9</v>
      </c>
      <c r="H94">
        <v>5000</v>
      </c>
      <c r="I94" s="222">
        <v>0</v>
      </c>
      <c r="J94" s="222">
        <v>1</v>
      </c>
      <c r="K94" s="219">
        <v>0</v>
      </c>
      <c r="L94" s="219">
        <v>1</v>
      </c>
      <c r="M94" s="219">
        <v>0</v>
      </c>
      <c r="N94" s="83">
        <v>12964</v>
      </c>
      <c r="O94" s="83"/>
      <c r="P94" s="83"/>
      <c r="Q94" s="83"/>
      <c r="R94" s="217"/>
      <c r="S94" s="217"/>
      <c r="T94" s="217"/>
      <c r="U94" s="217"/>
      <c r="V94" s="217"/>
      <c r="W94" s="217"/>
      <c r="X94" s="217"/>
      <c r="Y94" s="217"/>
      <c r="Z94" s="217"/>
      <c r="AB94" s="188">
        <v>50.2</v>
      </c>
      <c r="AC94" s="189">
        <v>156</v>
      </c>
      <c r="AD94" s="189">
        <v>3.9</v>
      </c>
      <c r="AE94" s="189">
        <v>5000</v>
      </c>
      <c r="AF94" s="235">
        <v>0</v>
      </c>
      <c r="AG94" s="235">
        <v>1</v>
      </c>
      <c r="AH94" s="241">
        <v>1</v>
      </c>
      <c r="AI94" s="241">
        <v>0</v>
      </c>
      <c r="AJ94" s="242">
        <v>12964</v>
      </c>
      <c r="AL94" s="217"/>
      <c r="AM94" s="217"/>
      <c r="AN94" s="217"/>
      <c r="AO94" s="217"/>
      <c r="AP94" s="217"/>
      <c r="AQ94" s="217"/>
      <c r="AR94" s="217"/>
      <c r="AS94" s="217"/>
      <c r="AT94" s="217"/>
    </row>
    <row r="95" spans="1:46" ht="20.25" customHeight="1">
      <c r="A95" s="83"/>
      <c r="B95" s="83"/>
      <c r="D95"/>
      <c r="E95" s="216">
        <v>50.8</v>
      </c>
      <c r="F95">
        <v>92</v>
      </c>
      <c r="G95">
        <v>3.41</v>
      </c>
      <c r="H95">
        <v>4800</v>
      </c>
      <c r="I95" s="222">
        <v>0</v>
      </c>
      <c r="J95" s="222">
        <v>0</v>
      </c>
      <c r="K95" s="219">
        <v>0</v>
      </c>
      <c r="L95" s="219">
        <v>1</v>
      </c>
      <c r="M95" s="219">
        <v>0</v>
      </c>
      <c r="N95" s="83">
        <v>6479</v>
      </c>
      <c r="O95" s="83"/>
      <c r="P95" s="83"/>
      <c r="Q95" s="83"/>
      <c r="R95" s="217"/>
      <c r="S95" s="217"/>
      <c r="T95" s="217"/>
      <c r="U95" s="217"/>
      <c r="V95" s="217"/>
      <c r="W95" s="217"/>
      <c r="X95" s="217"/>
      <c r="Y95" s="217"/>
      <c r="Z95" s="217"/>
      <c r="AB95" s="186">
        <v>50.8</v>
      </c>
      <c r="AC95" s="187">
        <v>92</v>
      </c>
      <c r="AD95" s="187">
        <v>3.41</v>
      </c>
      <c r="AE95" s="187">
        <v>4800</v>
      </c>
      <c r="AF95" s="234">
        <v>0</v>
      </c>
      <c r="AG95" s="234">
        <v>0</v>
      </c>
      <c r="AH95" s="239">
        <v>1</v>
      </c>
      <c r="AI95" s="239">
        <v>0</v>
      </c>
      <c r="AJ95" s="240">
        <v>6479</v>
      </c>
      <c r="AL95" s="217"/>
      <c r="AM95" s="217"/>
      <c r="AN95" s="217"/>
      <c r="AO95" s="217"/>
      <c r="AP95" s="217"/>
      <c r="AQ95" s="217"/>
      <c r="AR95" s="217"/>
      <c r="AS95" s="217"/>
      <c r="AT95" s="217"/>
    </row>
    <row r="96" spans="1:46" ht="20.25" customHeight="1">
      <c r="A96" s="83"/>
      <c r="B96" s="83"/>
      <c r="D96"/>
      <c r="E96" s="216">
        <v>50.8</v>
      </c>
      <c r="F96">
        <v>92</v>
      </c>
      <c r="G96">
        <v>3.41</v>
      </c>
      <c r="H96">
        <v>6000</v>
      </c>
      <c r="I96" s="222">
        <v>0</v>
      </c>
      <c r="J96" s="222">
        <v>0</v>
      </c>
      <c r="K96" s="219">
        <v>0</v>
      </c>
      <c r="L96" s="219">
        <v>1</v>
      </c>
      <c r="M96" s="219">
        <v>0</v>
      </c>
      <c r="N96" s="83">
        <v>6855</v>
      </c>
      <c r="O96" s="83"/>
      <c r="P96" s="83"/>
      <c r="Q96" s="83"/>
      <c r="R96" s="217"/>
      <c r="S96" s="217"/>
      <c r="T96" s="217"/>
      <c r="U96" s="217"/>
      <c r="V96" s="217"/>
      <c r="W96" s="217"/>
      <c r="X96" s="217"/>
      <c r="Y96" s="217"/>
      <c r="Z96" s="217"/>
      <c r="AB96" s="188">
        <v>50.8</v>
      </c>
      <c r="AC96" s="189">
        <v>92</v>
      </c>
      <c r="AD96" s="189">
        <v>3.41</v>
      </c>
      <c r="AE96" s="189">
        <v>6000</v>
      </c>
      <c r="AF96" s="235">
        <v>0</v>
      </c>
      <c r="AG96" s="235">
        <v>0</v>
      </c>
      <c r="AH96" s="241">
        <v>1</v>
      </c>
      <c r="AI96" s="241">
        <v>0</v>
      </c>
      <c r="AJ96" s="242">
        <v>6855</v>
      </c>
    </row>
    <row r="97" spans="1:36" ht="20.25" customHeight="1">
      <c r="A97" s="83"/>
      <c r="B97" s="83"/>
      <c r="D97"/>
      <c r="E97" s="216">
        <v>52.6</v>
      </c>
      <c r="F97">
        <v>79</v>
      </c>
      <c r="G97">
        <v>3.07</v>
      </c>
      <c r="H97">
        <v>5500</v>
      </c>
      <c r="I97" s="222">
        <v>0</v>
      </c>
      <c r="J97" s="222">
        <v>0</v>
      </c>
      <c r="K97" s="219">
        <v>0</v>
      </c>
      <c r="L97" s="219">
        <v>1</v>
      </c>
      <c r="M97" s="219">
        <v>0</v>
      </c>
      <c r="N97" s="83">
        <v>5399</v>
      </c>
      <c r="O97" s="83"/>
      <c r="P97" s="83"/>
      <c r="Q97" s="83"/>
      <c r="R97" s="217" t="s">
        <v>117</v>
      </c>
      <c r="S97" s="217"/>
      <c r="T97" s="217"/>
      <c r="U97" s="217"/>
      <c r="V97" s="217"/>
      <c r="W97" s="217"/>
      <c r="X97" s="217"/>
      <c r="Y97" s="217"/>
      <c r="Z97" s="217"/>
      <c r="AB97" s="186">
        <v>52.6</v>
      </c>
      <c r="AC97" s="187">
        <v>79</v>
      </c>
      <c r="AD97" s="187">
        <v>3.07</v>
      </c>
      <c r="AE97" s="187">
        <v>5500</v>
      </c>
      <c r="AF97" s="234">
        <v>0</v>
      </c>
      <c r="AG97" s="234">
        <v>0</v>
      </c>
      <c r="AH97" s="239">
        <v>1</v>
      </c>
      <c r="AI97" s="239">
        <v>0</v>
      </c>
      <c r="AJ97" s="240">
        <v>5399</v>
      </c>
    </row>
    <row r="98" spans="1:36" ht="20.25" customHeight="1" thickBot="1">
      <c r="A98" s="83"/>
      <c r="B98" s="83"/>
      <c r="D98"/>
      <c r="E98" s="216">
        <v>52.6</v>
      </c>
      <c r="F98">
        <v>92</v>
      </c>
      <c r="G98">
        <v>3.41</v>
      </c>
      <c r="H98">
        <v>6000</v>
      </c>
      <c r="I98" s="222">
        <v>0</v>
      </c>
      <c r="J98" s="222">
        <v>0</v>
      </c>
      <c r="K98" s="219">
        <v>0</v>
      </c>
      <c r="L98" s="219">
        <v>1</v>
      </c>
      <c r="M98" s="219">
        <v>0</v>
      </c>
      <c r="N98" s="83">
        <v>6529</v>
      </c>
      <c r="O98" s="83"/>
      <c r="P98" s="83"/>
      <c r="Q98" s="83"/>
      <c r="R98" s="217"/>
      <c r="S98" s="217"/>
      <c r="T98" s="217"/>
      <c r="U98" s="217"/>
      <c r="V98" s="217"/>
      <c r="W98" s="217"/>
      <c r="X98" s="217"/>
      <c r="Y98" s="217"/>
      <c r="Z98" s="217"/>
      <c r="AB98" s="188">
        <v>52.6</v>
      </c>
      <c r="AC98" s="189">
        <v>92</v>
      </c>
      <c r="AD98" s="189">
        <v>3.41</v>
      </c>
      <c r="AE98" s="189">
        <v>6000</v>
      </c>
      <c r="AF98" s="235">
        <v>0</v>
      </c>
      <c r="AG98" s="235">
        <v>0</v>
      </c>
      <c r="AH98" s="241">
        <v>1</v>
      </c>
      <c r="AI98" s="241">
        <v>0</v>
      </c>
      <c r="AJ98" s="242">
        <v>6529</v>
      </c>
    </row>
    <row r="99" spans="1:36" ht="20.25" customHeight="1">
      <c r="A99" s="83"/>
      <c r="B99" s="83"/>
      <c r="D99"/>
      <c r="E99" s="216">
        <v>52.6</v>
      </c>
      <c r="F99">
        <v>92</v>
      </c>
      <c r="G99">
        <v>3.41</v>
      </c>
      <c r="H99">
        <v>6000</v>
      </c>
      <c r="I99" s="222">
        <v>0</v>
      </c>
      <c r="J99" s="222">
        <v>0</v>
      </c>
      <c r="K99" s="219">
        <v>0</v>
      </c>
      <c r="L99" s="219">
        <v>1</v>
      </c>
      <c r="M99" s="219">
        <v>0</v>
      </c>
      <c r="N99" s="83">
        <v>7129</v>
      </c>
      <c r="O99" s="83"/>
      <c r="P99" s="83"/>
      <c r="Q99" s="83"/>
      <c r="R99" s="224" t="s">
        <v>118</v>
      </c>
      <c r="S99" s="224"/>
      <c r="T99" s="217"/>
      <c r="U99" s="217"/>
      <c r="V99" s="217"/>
      <c r="W99" s="217"/>
      <c r="X99" s="217"/>
      <c r="Y99" s="217"/>
      <c r="Z99" s="217"/>
      <c r="AB99" s="186">
        <v>52.6</v>
      </c>
      <c r="AC99" s="187">
        <v>92</v>
      </c>
      <c r="AD99" s="187">
        <v>3.41</v>
      </c>
      <c r="AE99" s="187">
        <v>6000</v>
      </c>
      <c r="AF99" s="234">
        <v>0</v>
      </c>
      <c r="AG99" s="234">
        <v>0</v>
      </c>
      <c r="AH99" s="239">
        <v>1</v>
      </c>
      <c r="AI99" s="239">
        <v>0</v>
      </c>
      <c r="AJ99" s="240">
        <v>7129</v>
      </c>
    </row>
    <row r="100" spans="1:36" ht="20.25" customHeight="1">
      <c r="A100" s="83"/>
      <c r="B100" s="83"/>
      <c r="D100"/>
      <c r="E100" s="216">
        <v>54.5</v>
      </c>
      <c r="F100">
        <v>92</v>
      </c>
      <c r="G100">
        <v>3.41</v>
      </c>
      <c r="H100">
        <v>6000</v>
      </c>
      <c r="I100" s="222">
        <v>0</v>
      </c>
      <c r="J100" s="222">
        <v>0</v>
      </c>
      <c r="K100" s="219">
        <v>0</v>
      </c>
      <c r="L100" s="219">
        <v>1</v>
      </c>
      <c r="M100" s="219">
        <v>0</v>
      </c>
      <c r="N100" s="83">
        <v>7295</v>
      </c>
      <c r="O100" s="83"/>
      <c r="P100" s="83"/>
      <c r="Q100" s="83"/>
      <c r="R100" s="192" t="s">
        <v>119</v>
      </c>
      <c r="S100" s="192">
        <v>0.9244509931029995</v>
      </c>
      <c r="T100" s="217"/>
      <c r="U100" s="217"/>
      <c r="V100" s="217"/>
      <c r="W100" s="217"/>
      <c r="X100" s="217"/>
      <c r="Y100" s="217"/>
      <c r="Z100" s="217"/>
      <c r="AB100" s="188">
        <v>54.5</v>
      </c>
      <c r="AC100" s="189">
        <v>92</v>
      </c>
      <c r="AD100" s="189">
        <v>3.41</v>
      </c>
      <c r="AE100" s="189">
        <v>6000</v>
      </c>
      <c r="AF100" s="235">
        <v>0</v>
      </c>
      <c r="AG100" s="235">
        <v>0</v>
      </c>
      <c r="AH100" s="241">
        <v>1</v>
      </c>
      <c r="AI100" s="241">
        <v>0</v>
      </c>
      <c r="AJ100" s="242">
        <v>7295</v>
      </c>
    </row>
    <row r="101" spans="1:36" ht="20.25" customHeight="1">
      <c r="A101" s="83"/>
      <c r="B101" s="83"/>
      <c r="D101"/>
      <c r="E101" s="216">
        <v>58.3</v>
      </c>
      <c r="F101">
        <v>92</v>
      </c>
      <c r="G101">
        <v>3.41</v>
      </c>
      <c r="H101">
        <v>6000</v>
      </c>
      <c r="I101" s="222">
        <v>0</v>
      </c>
      <c r="J101" s="222">
        <v>0</v>
      </c>
      <c r="K101" s="219">
        <v>0</v>
      </c>
      <c r="L101" s="219">
        <v>1</v>
      </c>
      <c r="M101" s="219">
        <v>0</v>
      </c>
      <c r="N101" s="83">
        <v>7295</v>
      </c>
      <c r="O101" s="83"/>
      <c r="P101" s="83"/>
      <c r="Q101" s="83"/>
      <c r="R101" s="192" t="s">
        <v>120</v>
      </c>
      <c r="S101" s="192">
        <v>0.85460963864912198</v>
      </c>
      <c r="T101" s="217"/>
      <c r="U101" s="217"/>
      <c r="V101" s="217"/>
      <c r="W101" s="217"/>
      <c r="X101" s="217"/>
      <c r="Y101" s="217"/>
      <c r="Z101" s="217"/>
      <c r="AB101" s="186">
        <v>58.3</v>
      </c>
      <c r="AC101" s="187">
        <v>92</v>
      </c>
      <c r="AD101" s="187">
        <v>3.41</v>
      </c>
      <c r="AE101" s="187">
        <v>6000</v>
      </c>
      <c r="AF101" s="234">
        <v>0</v>
      </c>
      <c r="AG101" s="234">
        <v>0</v>
      </c>
      <c r="AH101" s="239">
        <v>1</v>
      </c>
      <c r="AI101" s="239">
        <v>0</v>
      </c>
      <c r="AJ101" s="240">
        <v>7295</v>
      </c>
    </row>
    <row r="102" spans="1:36" ht="20.25" customHeight="1">
      <c r="A102" s="83"/>
      <c r="B102" s="83"/>
      <c r="D102"/>
      <c r="E102" s="216">
        <v>53.3</v>
      </c>
      <c r="F102">
        <v>110</v>
      </c>
      <c r="G102">
        <v>3.58</v>
      </c>
      <c r="H102">
        <v>5800</v>
      </c>
      <c r="I102" s="222">
        <v>0</v>
      </c>
      <c r="J102" s="222">
        <v>0</v>
      </c>
      <c r="K102" s="219">
        <v>0</v>
      </c>
      <c r="L102" s="219">
        <v>1</v>
      </c>
      <c r="M102" s="219">
        <v>0</v>
      </c>
      <c r="N102" s="83">
        <v>7895</v>
      </c>
      <c r="O102" s="83"/>
      <c r="P102" s="83"/>
      <c r="Q102" s="83"/>
      <c r="R102" s="192" t="s">
        <v>121</v>
      </c>
      <c r="S102" s="192">
        <v>0.84711529012588094</v>
      </c>
      <c r="T102" s="217"/>
      <c r="U102" s="217"/>
      <c r="V102" s="217"/>
      <c r="W102" s="217"/>
      <c r="X102" s="217"/>
      <c r="Y102" s="217"/>
      <c r="Z102" s="217"/>
      <c r="AB102" s="188">
        <v>53.3</v>
      </c>
      <c r="AC102" s="189">
        <v>110</v>
      </c>
      <c r="AD102" s="189">
        <v>3.58</v>
      </c>
      <c r="AE102" s="189">
        <v>5800</v>
      </c>
      <c r="AF102" s="235">
        <v>0</v>
      </c>
      <c r="AG102" s="235">
        <v>0</v>
      </c>
      <c r="AH102" s="241">
        <v>1</v>
      </c>
      <c r="AI102" s="241">
        <v>0</v>
      </c>
      <c r="AJ102" s="242">
        <v>7895</v>
      </c>
    </row>
    <row r="103" spans="1:36" ht="20.25" customHeight="1">
      <c r="A103" s="83"/>
      <c r="B103" s="83"/>
      <c r="D103"/>
      <c r="E103" s="216">
        <v>53.3</v>
      </c>
      <c r="F103">
        <v>110</v>
      </c>
      <c r="G103">
        <v>3.58</v>
      </c>
      <c r="H103">
        <v>5800</v>
      </c>
      <c r="I103" s="222">
        <v>0</v>
      </c>
      <c r="J103" s="222">
        <v>0</v>
      </c>
      <c r="K103" s="219">
        <v>0</v>
      </c>
      <c r="L103" s="219">
        <v>1</v>
      </c>
      <c r="M103" s="219">
        <v>0</v>
      </c>
      <c r="N103" s="83">
        <v>9095</v>
      </c>
      <c r="O103" s="83"/>
      <c r="P103" s="83"/>
      <c r="Q103" s="83"/>
      <c r="R103" s="192" t="s">
        <v>122</v>
      </c>
      <c r="S103" s="192">
        <v>3123.6791612725815</v>
      </c>
      <c r="T103" s="217"/>
      <c r="U103" s="217"/>
      <c r="V103" s="217"/>
      <c r="W103" s="217"/>
      <c r="X103" s="217"/>
      <c r="Y103" s="217"/>
      <c r="Z103" s="217"/>
      <c r="AB103" s="186">
        <v>53.3</v>
      </c>
      <c r="AC103" s="187">
        <v>110</v>
      </c>
      <c r="AD103" s="187">
        <v>3.58</v>
      </c>
      <c r="AE103" s="187">
        <v>5800</v>
      </c>
      <c r="AF103" s="234">
        <v>0</v>
      </c>
      <c r="AG103" s="234">
        <v>0</v>
      </c>
      <c r="AH103" s="239">
        <v>1</v>
      </c>
      <c r="AI103" s="239">
        <v>0</v>
      </c>
      <c r="AJ103" s="240">
        <v>9095</v>
      </c>
    </row>
    <row r="104" spans="1:36" ht="20.25" customHeight="1" thickBot="1">
      <c r="A104" s="83"/>
      <c r="B104" s="83"/>
      <c r="D104"/>
      <c r="E104" s="216">
        <v>54.1</v>
      </c>
      <c r="F104">
        <v>110</v>
      </c>
      <c r="G104">
        <v>3.58</v>
      </c>
      <c r="H104">
        <v>5800</v>
      </c>
      <c r="I104" s="222">
        <v>0</v>
      </c>
      <c r="J104" s="222">
        <v>0</v>
      </c>
      <c r="K104" s="219">
        <v>0</v>
      </c>
      <c r="L104" s="219">
        <v>1</v>
      </c>
      <c r="M104" s="219">
        <v>0</v>
      </c>
      <c r="N104" s="83">
        <v>8845</v>
      </c>
      <c r="O104" s="83"/>
      <c r="P104" s="83"/>
      <c r="Q104" s="83"/>
      <c r="R104" s="194" t="s">
        <v>123</v>
      </c>
      <c r="S104" s="194">
        <v>205</v>
      </c>
      <c r="T104" s="217"/>
      <c r="U104" s="217"/>
      <c r="V104" s="217"/>
      <c r="W104" s="217"/>
      <c r="X104" s="217"/>
      <c r="Y104" s="217"/>
      <c r="Z104" s="217"/>
      <c r="AB104" s="188">
        <v>54.1</v>
      </c>
      <c r="AC104" s="189">
        <v>110</v>
      </c>
      <c r="AD104" s="189">
        <v>3.58</v>
      </c>
      <c r="AE104" s="189">
        <v>5800</v>
      </c>
      <c r="AF104" s="235">
        <v>0</v>
      </c>
      <c r="AG104" s="235">
        <v>0</v>
      </c>
      <c r="AH104" s="241">
        <v>1</v>
      </c>
      <c r="AI104" s="241">
        <v>0</v>
      </c>
      <c r="AJ104" s="242">
        <v>8845</v>
      </c>
    </row>
    <row r="105" spans="1:36" ht="20.25" customHeight="1">
      <c r="A105" s="83"/>
      <c r="B105" s="83"/>
      <c r="D105"/>
      <c r="E105" s="216">
        <v>54.1</v>
      </c>
      <c r="F105">
        <v>110</v>
      </c>
      <c r="G105">
        <v>3.58</v>
      </c>
      <c r="H105">
        <v>5800</v>
      </c>
      <c r="I105" s="222">
        <v>0</v>
      </c>
      <c r="J105" s="222">
        <v>0</v>
      </c>
      <c r="K105" s="219">
        <v>0</v>
      </c>
      <c r="L105" s="219">
        <v>1</v>
      </c>
      <c r="M105" s="219">
        <v>0</v>
      </c>
      <c r="N105" s="83">
        <v>10295</v>
      </c>
      <c r="O105" s="83"/>
      <c r="P105" s="83"/>
      <c r="Q105" s="83"/>
      <c r="R105" s="217"/>
      <c r="S105" s="217"/>
      <c r="T105" s="217"/>
      <c r="U105" s="217"/>
      <c r="V105" s="217"/>
      <c r="W105" s="217"/>
      <c r="X105" s="217"/>
      <c r="Y105" s="217"/>
      <c r="Z105" s="217"/>
      <c r="AB105" s="186">
        <v>54.1</v>
      </c>
      <c r="AC105" s="187">
        <v>110</v>
      </c>
      <c r="AD105" s="187">
        <v>3.58</v>
      </c>
      <c r="AE105" s="187">
        <v>5800</v>
      </c>
      <c r="AF105" s="234">
        <v>0</v>
      </c>
      <c r="AG105" s="234">
        <v>0</v>
      </c>
      <c r="AH105" s="239">
        <v>1</v>
      </c>
      <c r="AI105" s="239">
        <v>0</v>
      </c>
      <c r="AJ105" s="240">
        <v>10295</v>
      </c>
    </row>
    <row r="106" spans="1:36" ht="20.25" customHeight="1" thickBot="1">
      <c r="A106" s="83"/>
      <c r="B106" s="83"/>
      <c r="D106"/>
      <c r="E106" s="216">
        <v>54.1</v>
      </c>
      <c r="F106">
        <v>110</v>
      </c>
      <c r="G106">
        <v>3.58</v>
      </c>
      <c r="H106">
        <v>5800</v>
      </c>
      <c r="I106" s="222">
        <v>0</v>
      </c>
      <c r="J106" s="222">
        <v>0</v>
      </c>
      <c r="K106" s="219">
        <v>0</v>
      </c>
      <c r="L106" s="219">
        <v>1</v>
      </c>
      <c r="M106" s="219">
        <v>0</v>
      </c>
      <c r="N106" s="83">
        <v>12945</v>
      </c>
      <c r="O106" s="83"/>
      <c r="P106" s="83"/>
      <c r="Q106" s="83"/>
      <c r="R106" s="217" t="s">
        <v>124</v>
      </c>
      <c r="S106" s="217"/>
      <c r="T106" s="217"/>
      <c r="U106" s="217"/>
      <c r="V106" s="217"/>
      <c r="W106" s="217"/>
      <c r="X106" s="217"/>
      <c r="Y106" s="217"/>
      <c r="Z106" s="217"/>
      <c r="AB106" s="188">
        <v>54.1</v>
      </c>
      <c r="AC106" s="189">
        <v>110</v>
      </c>
      <c r="AD106" s="189">
        <v>3.58</v>
      </c>
      <c r="AE106" s="189">
        <v>5800</v>
      </c>
      <c r="AF106" s="235">
        <v>0</v>
      </c>
      <c r="AG106" s="235">
        <v>0</v>
      </c>
      <c r="AH106" s="241">
        <v>1</v>
      </c>
      <c r="AI106" s="241">
        <v>0</v>
      </c>
      <c r="AJ106" s="242">
        <v>12945</v>
      </c>
    </row>
    <row r="107" spans="1:36" ht="20.25" customHeight="1">
      <c r="A107" s="83"/>
      <c r="B107" s="83"/>
      <c r="D107"/>
      <c r="E107" s="216">
        <v>51</v>
      </c>
      <c r="F107">
        <v>110</v>
      </c>
      <c r="G107">
        <v>3.58</v>
      </c>
      <c r="H107">
        <v>5500</v>
      </c>
      <c r="I107" s="222">
        <v>0</v>
      </c>
      <c r="J107" s="222">
        <v>0</v>
      </c>
      <c r="K107" s="219">
        <v>0</v>
      </c>
      <c r="L107" s="219">
        <v>1</v>
      </c>
      <c r="M107" s="219">
        <v>0</v>
      </c>
      <c r="N107" s="83">
        <v>10345</v>
      </c>
      <c r="O107" s="83"/>
      <c r="P107" s="83"/>
      <c r="Q107" s="83"/>
      <c r="R107" s="193"/>
      <c r="S107" s="193" t="s">
        <v>129</v>
      </c>
      <c r="T107" s="193" t="s">
        <v>130</v>
      </c>
      <c r="U107" s="193" t="s">
        <v>131</v>
      </c>
      <c r="V107" s="193" t="s">
        <v>132</v>
      </c>
      <c r="W107" s="193" t="s">
        <v>133</v>
      </c>
      <c r="X107" s="217"/>
      <c r="Y107" s="217"/>
      <c r="Z107" s="217"/>
      <c r="AB107" s="186">
        <v>51</v>
      </c>
      <c r="AC107" s="187">
        <v>110</v>
      </c>
      <c r="AD107" s="187">
        <v>3.58</v>
      </c>
      <c r="AE107" s="187">
        <v>5500</v>
      </c>
      <c r="AF107" s="234">
        <v>0</v>
      </c>
      <c r="AG107" s="234">
        <v>0</v>
      </c>
      <c r="AH107" s="239">
        <v>1</v>
      </c>
      <c r="AI107" s="239">
        <v>0</v>
      </c>
      <c r="AJ107" s="240">
        <v>10345</v>
      </c>
    </row>
    <row r="108" spans="1:36" ht="20.25" customHeight="1">
      <c r="A108" s="83"/>
      <c r="B108" s="83"/>
      <c r="D108"/>
      <c r="E108" s="216">
        <v>53.5</v>
      </c>
      <c r="F108">
        <v>111</v>
      </c>
      <c r="G108">
        <v>3.23</v>
      </c>
      <c r="H108">
        <v>4800</v>
      </c>
      <c r="I108" s="222">
        <v>0</v>
      </c>
      <c r="J108" s="222">
        <v>0</v>
      </c>
      <c r="K108" s="219">
        <v>0</v>
      </c>
      <c r="L108" s="219">
        <v>0</v>
      </c>
      <c r="M108" s="219">
        <v>0</v>
      </c>
      <c r="N108" s="83">
        <v>6785</v>
      </c>
      <c r="O108" s="83"/>
      <c r="P108" s="83"/>
      <c r="Q108" s="83"/>
      <c r="R108" s="192" t="s">
        <v>125</v>
      </c>
      <c r="S108" s="192">
        <v>10</v>
      </c>
      <c r="T108" s="192">
        <v>11126709290.494879</v>
      </c>
      <c r="U108" s="192">
        <v>1112670929.0494878</v>
      </c>
      <c r="V108" s="192">
        <v>114.03387979606832</v>
      </c>
      <c r="W108" s="192">
        <v>1.2794344800562695E-75</v>
      </c>
      <c r="X108" s="217"/>
      <c r="Y108" s="217"/>
      <c r="Z108" s="217"/>
      <c r="AB108" s="188">
        <v>53.5</v>
      </c>
      <c r="AC108" s="189">
        <v>111</v>
      </c>
      <c r="AD108" s="189">
        <v>3.23</v>
      </c>
      <c r="AE108" s="189">
        <v>4800</v>
      </c>
      <c r="AF108" s="235">
        <v>0</v>
      </c>
      <c r="AG108" s="235">
        <v>0</v>
      </c>
      <c r="AH108" s="241">
        <v>0</v>
      </c>
      <c r="AI108" s="241">
        <v>0</v>
      </c>
      <c r="AJ108" s="242">
        <v>6785</v>
      </c>
    </row>
    <row r="109" spans="1:36" ht="20.25" customHeight="1">
      <c r="A109" s="83"/>
      <c r="B109" s="83"/>
      <c r="D109"/>
      <c r="E109" s="216">
        <v>52</v>
      </c>
      <c r="F109">
        <v>90</v>
      </c>
      <c r="G109">
        <v>3.11</v>
      </c>
      <c r="H109">
        <v>5400</v>
      </c>
      <c r="I109" s="222">
        <v>0</v>
      </c>
      <c r="J109" s="222">
        <v>0</v>
      </c>
      <c r="K109" s="219">
        <v>0</v>
      </c>
      <c r="L109" s="219">
        <v>1</v>
      </c>
      <c r="M109" s="219">
        <v>0</v>
      </c>
      <c r="N109" s="83">
        <v>8916.5</v>
      </c>
      <c r="O109" s="83"/>
      <c r="P109" s="83"/>
      <c r="Q109" s="83"/>
      <c r="R109" s="192" t="s">
        <v>126</v>
      </c>
      <c r="S109" s="192">
        <v>194</v>
      </c>
      <c r="T109" s="192">
        <v>1892930071.4983041</v>
      </c>
      <c r="U109" s="192">
        <v>9757371.5025685783</v>
      </c>
      <c r="V109" s="192"/>
      <c r="W109" s="192"/>
      <c r="X109" s="217"/>
      <c r="Y109" s="217"/>
      <c r="Z109" s="217"/>
      <c r="AB109" s="186">
        <v>52</v>
      </c>
      <c r="AC109" s="187">
        <v>90</v>
      </c>
      <c r="AD109" s="187">
        <v>3.11</v>
      </c>
      <c r="AE109" s="187">
        <v>5400</v>
      </c>
      <c r="AF109" s="234">
        <v>0</v>
      </c>
      <c r="AG109" s="234">
        <v>0</v>
      </c>
      <c r="AH109" s="239">
        <v>1</v>
      </c>
      <c r="AI109" s="239">
        <v>0</v>
      </c>
      <c r="AJ109" s="240">
        <v>8916.5</v>
      </c>
    </row>
    <row r="110" spans="1:36" ht="20.25" customHeight="1" thickBot="1">
      <c r="A110" s="83"/>
      <c r="B110" s="83"/>
      <c r="D110"/>
      <c r="E110" s="216">
        <v>52</v>
      </c>
      <c r="F110">
        <v>90</v>
      </c>
      <c r="G110">
        <v>3.11</v>
      </c>
      <c r="H110">
        <v>5400</v>
      </c>
      <c r="I110" s="222">
        <v>0</v>
      </c>
      <c r="J110" s="222">
        <v>0</v>
      </c>
      <c r="K110" s="219">
        <v>0</v>
      </c>
      <c r="L110" s="219">
        <v>1</v>
      </c>
      <c r="M110" s="219">
        <v>0</v>
      </c>
      <c r="N110" s="83">
        <v>8916.5</v>
      </c>
      <c r="O110" s="83"/>
      <c r="P110" s="83"/>
      <c r="Q110" s="83"/>
      <c r="R110" s="194" t="s">
        <v>127</v>
      </c>
      <c r="S110" s="194">
        <v>204</v>
      </c>
      <c r="T110" s="194">
        <v>13019639361.993183</v>
      </c>
      <c r="U110" s="194"/>
      <c r="V110" s="194"/>
      <c r="W110" s="194"/>
      <c r="X110" s="217"/>
      <c r="Y110" s="217"/>
      <c r="Z110" s="217"/>
      <c r="AB110" s="188">
        <v>52</v>
      </c>
      <c r="AC110" s="189">
        <v>90</v>
      </c>
      <c r="AD110" s="189">
        <v>3.11</v>
      </c>
      <c r="AE110" s="189">
        <v>5400</v>
      </c>
      <c r="AF110" s="235">
        <v>0</v>
      </c>
      <c r="AG110" s="235">
        <v>0</v>
      </c>
      <c r="AH110" s="241">
        <v>1</v>
      </c>
      <c r="AI110" s="241">
        <v>0</v>
      </c>
      <c r="AJ110" s="242">
        <v>8916.5</v>
      </c>
    </row>
    <row r="111" spans="1:36" ht="20.25" customHeight="1" thickBot="1">
      <c r="A111" s="83"/>
      <c r="B111" s="83"/>
      <c r="D111"/>
      <c r="E111" s="216">
        <v>51.4</v>
      </c>
      <c r="F111">
        <v>119</v>
      </c>
      <c r="G111">
        <v>3.23</v>
      </c>
      <c r="H111">
        <v>5000</v>
      </c>
      <c r="I111" s="222">
        <v>0</v>
      </c>
      <c r="J111" s="222">
        <v>0</v>
      </c>
      <c r="K111" s="219">
        <v>0</v>
      </c>
      <c r="L111" s="219">
        <v>0</v>
      </c>
      <c r="M111" s="219">
        <v>0</v>
      </c>
      <c r="N111" s="83">
        <v>11048</v>
      </c>
      <c r="O111" s="83"/>
      <c r="P111" s="83"/>
      <c r="Q111" s="83"/>
      <c r="R111" s="217"/>
      <c r="S111" s="217"/>
      <c r="T111" s="217"/>
      <c r="U111" s="217"/>
      <c r="V111" s="217"/>
      <c r="W111" s="217"/>
      <c r="X111" s="217"/>
      <c r="Y111" s="217"/>
      <c r="Z111" s="217"/>
      <c r="AB111" s="186">
        <v>51.4</v>
      </c>
      <c r="AC111" s="187">
        <v>119</v>
      </c>
      <c r="AD111" s="187">
        <v>3.23</v>
      </c>
      <c r="AE111" s="187">
        <v>5000</v>
      </c>
      <c r="AF111" s="234">
        <v>0</v>
      </c>
      <c r="AG111" s="234">
        <v>0</v>
      </c>
      <c r="AH111" s="239">
        <v>0</v>
      </c>
      <c r="AI111" s="239">
        <v>0</v>
      </c>
      <c r="AJ111" s="240">
        <v>11048</v>
      </c>
    </row>
    <row r="112" spans="1:36" ht="20.25" customHeight="1">
      <c r="A112" s="83"/>
      <c r="B112" s="83"/>
      <c r="D112"/>
      <c r="E112" s="216">
        <v>52.8</v>
      </c>
      <c r="F112">
        <v>258</v>
      </c>
      <c r="G112">
        <v>4.17</v>
      </c>
      <c r="H112">
        <v>4750</v>
      </c>
      <c r="I112" s="222">
        <v>0</v>
      </c>
      <c r="J112" s="222">
        <v>0</v>
      </c>
      <c r="K112" s="219">
        <v>0</v>
      </c>
      <c r="L112" s="219">
        <v>0</v>
      </c>
      <c r="M112" s="219">
        <v>0</v>
      </c>
      <c r="N112" s="83">
        <v>32250</v>
      </c>
      <c r="O112" s="83"/>
      <c r="P112" s="83"/>
      <c r="Q112" s="83"/>
      <c r="R112" s="193"/>
      <c r="S112" s="193" t="s">
        <v>134</v>
      </c>
      <c r="T112" s="193" t="s">
        <v>122</v>
      </c>
      <c r="U112" s="193" t="s">
        <v>135</v>
      </c>
      <c r="V112" s="193" t="s">
        <v>136</v>
      </c>
      <c r="W112" s="193" t="s">
        <v>137</v>
      </c>
      <c r="X112" s="193" t="s">
        <v>138</v>
      </c>
      <c r="Y112" s="193" t="s">
        <v>139</v>
      </c>
      <c r="Z112" s="193" t="s">
        <v>140</v>
      </c>
      <c r="AB112" s="188">
        <v>52.8</v>
      </c>
      <c r="AC112" s="189">
        <v>258</v>
      </c>
      <c r="AD112" s="189">
        <v>4.17</v>
      </c>
      <c r="AE112" s="189">
        <v>4750</v>
      </c>
      <c r="AF112" s="235">
        <v>0</v>
      </c>
      <c r="AG112" s="235">
        <v>0</v>
      </c>
      <c r="AH112" s="241">
        <v>0</v>
      </c>
      <c r="AI112" s="241">
        <v>0</v>
      </c>
      <c r="AJ112" s="242">
        <v>32250</v>
      </c>
    </row>
    <row r="113" spans="1:36" ht="20.25" customHeight="1">
      <c r="A113" s="83"/>
      <c r="B113" s="83"/>
      <c r="D113"/>
      <c r="E113" s="216">
        <v>52.8</v>
      </c>
      <c r="F113">
        <v>258</v>
      </c>
      <c r="G113">
        <v>4.17</v>
      </c>
      <c r="H113">
        <v>4750</v>
      </c>
      <c r="I113" s="222">
        <v>0</v>
      </c>
      <c r="J113" s="222">
        <v>0</v>
      </c>
      <c r="K113" s="219">
        <v>0</v>
      </c>
      <c r="L113" s="219">
        <v>0</v>
      </c>
      <c r="M113" s="219">
        <v>0</v>
      </c>
      <c r="N113" s="83">
        <v>35550</v>
      </c>
      <c r="O113" s="83"/>
      <c r="P113" s="83"/>
      <c r="Q113" s="83"/>
      <c r="R113" s="192" t="s">
        <v>128</v>
      </c>
      <c r="S113" s="192">
        <v>-24997.02451280642</v>
      </c>
      <c r="T113" s="192">
        <v>8040.329458760586</v>
      </c>
      <c r="U113" s="192">
        <v>-3.1089552537639054</v>
      </c>
      <c r="V113" s="192">
        <v>2.1599962174808696E-3</v>
      </c>
      <c r="W113" s="192">
        <v>-40854.705255583627</v>
      </c>
      <c r="X113" s="192">
        <v>-9139.3437700292106</v>
      </c>
      <c r="Y113" s="192">
        <v>-40854.705255583627</v>
      </c>
      <c r="Z113" s="192">
        <v>-9139.3437700292106</v>
      </c>
      <c r="AB113" s="186">
        <v>52.8</v>
      </c>
      <c r="AC113" s="187">
        <v>258</v>
      </c>
      <c r="AD113" s="187">
        <v>4.17</v>
      </c>
      <c r="AE113" s="187">
        <v>4750</v>
      </c>
      <c r="AF113" s="234">
        <v>0</v>
      </c>
      <c r="AG113" s="234">
        <v>0</v>
      </c>
      <c r="AH113" s="239">
        <v>0</v>
      </c>
      <c r="AI113" s="239">
        <v>0</v>
      </c>
      <c r="AJ113" s="240">
        <v>35550</v>
      </c>
    </row>
    <row r="114" spans="1:36" ht="20.25" customHeight="1">
      <c r="A114" s="83"/>
      <c r="B114" s="83"/>
      <c r="D114"/>
      <c r="E114" s="216">
        <v>47.8</v>
      </c>
      <c r="F114">
        <v>326</v>
      </c>
      <c r="G114">
        <v>2.76</v>
      </c>
      <c r="H114">
        <v>5000</v>
      </c>
      <c r="I114" s="222">
        <v>0</v>
      </c>
      <c r="J114" s="222">
        <v>0</v>
      </c>
      <c r="K114" s="219">
        <v>0</v>
      </c>
      <c r="L114" s="219">
        <v>0</v>
      </c>
      <c r="M114" s="219">
        <v>0</v>
      </c>
      <c r="N114" s="83">
        <v>36000</v>
      </c>
      <c r="O114" s="83"/>
      <c r="P114" s="83"/>
      <c r="Q114" s="83"/>
      <c r="R114" s="192" t="s">
        <v>74</v>
      </c>
      <c r="S114" s="192">
        <v>316.68699118113773</v>
      </c>
      <c r="T114" s="192">
        <v>98.679178745816529</v>
      </c>
      <c r="U114" s="192">
        <v>3.2092584799157904</v>
      </c>
      <c r="V114" s="192">
        <v>1.5573187064897407E-3</v>
      </c>
      <c r="W114" s="192">
        <v>122.06525079889452</v>
      </c>
      <c r="X114" s="192">
        <v>511.30873156338095</v>
      </c>
      <c r="Y114" s="192">
        <v>122.06525079889452</v>
      </c>
      <c r="Z114" s="192">
        <v>511.30873156338095</v>
      </c>
      <c r="AB114" s="188">
        <v>47.8</v>
      </c>
      <c r="AC114" s="189">
        <v>326</v>
      </c>
      <c r="AD114" s="189">
        <v>2.76</v>
      </c>
      <c r="AE114" s="189">
        <v>5000</v>
      </c>
      <c r="AF114" s="235">
        <v>0</v>
      </c>
      <c r="AG114" s="235">
        <v>0</v>
      </c>
      <c r="AH114" s="241">
        <v>0</v>
      </c>
      <c r="AI114" s="241">
        <v>0</v>
      </c>
      <c r="AJ114" s="242">
        <v>36000</v>
      </c>
    </row>
    <row r="115" spans="1:36" ht="20.25" customHeight="1">
      <c r="A115" s="83"/>
      <c r="B115" s="83"/>
      <c r="D115"/>
      <c r="E115" s="216">
        <v>54.1</v>
      </c>
      <c r="F115">
        <v>91</v>
      </c>
      <c r="G115">
        <v>3.15</v>
      </c>
      <c r="H115">
        <v>5000</v>
      </c>
      <c r="I115" s="222">
        <v>0</v>
      </c>
      <c r="J115" s="222">
        <v>0</v>
      </c>
      <c r="K115" s="219">
        <v>0</v>
      </c>
      <c r="L115" s="219">
        <v>1</v>
      </c>
      <c r="M115" s="219">
        <v>0</v>
      </c>
      <c r="N115" s="83">
        <v>5195</v>
      </c>
      <c r="O115" s="83"/>
      <c r="P115" s="83"/>
      <c r="Q115" s="83"/>
      <c r="R115" s="192" t="s">
        <v>76</v>
      </c>
      <c r="S115" s="192">
        <v>157.41126037050145</v>
      </c>
      <c r="T115" s="192">
        <v>7.5834716817576968</v>
      </c>
      <c r="U115" s="192">
        <v>20.757150151844002</v>
      </c>
      <c r="V115" s="192">
        <v>3.6568129296127351E-51</v>
      </c>
      <c r="W115" s="192">
        <v>142.4546253883147</v>
      </c>
      <c r="X115" s="192">
        <v>172.36789535268821</v>
      </c>
      <c r="Y115" s="192">
        <v>142.4546253883147</v>
      </c>
      <c r="Z115" s="192">
        <v>172.36789535268821</v>
      </c>
      <c r="AB115" s="186">
        <v>54.1</v>
      </c>
      <c r="AC115" s="187">
        <v>91</v>
      </c>
      <c r="AD115" s="187">
        <v>3.15</v>
      </c>
      <c r="AE115" s="187">
        <v>5000</v>
      </c>
      <c r="AF115" s="234">
        <v>0</v>
      </c>
      <c r="AG115" s="234">
        <v>0</v>
      </c>
      <c r="AH115" s="239">
        <v>1</v>
      </c>
      <c r="AI115" s="239">
        <v>0</v>
      </c>
      <c r="AJ115" s="240">
        <v>5195</v>
      </c>
    </row>
    <row r="116" spans="1:36" ht="20.25" customHeight="1">
      <c r="A116" s="83"/>
      <c r="B116" s="83"/>
      <c r="D116"/>
      <c r="E116" s="216">
        <v>54.1</v>
      </c>
      <c r="F116">
        <v>91</v>
      </c>
      <c r="G116">
        <v>3.15</v>
      </c>
      <c r="H116">
        <v>5000</v>
      </c>
      <c r="I116" s="222">
        <v>0</v>
      </c>
      <c r="J116" s="222">
        <v>0</v>
      </c>
      <c r="K116" s="219">
        <v>0</v>
      </c>
      <c r="L116" s="219">
        <v>1</v>
      </c>
      <c r="M116" s="219">
        <v>0</v>
      </c>
      <c r="N116" s="83">
        <v>6095</v>
      </c>
      <c r="O116" s="83"/>
      <c r="P116" s="83"/>
      <c r="Q116" s="83"/>
      <c r="R116" s="196" t="s">
        <v>77</v>
      </c>
      <c r="S116" s="192">
        <v>-1615.8269168223458</v>
      </c>
      <c r="T116" s="192">
        <v>1162.9189835979851</v>
      </c>
      <c r="U116" s="192">
        <v>-1.3894578552867862</v>
      </c>
      <c r="V116" s="196">
        <v>0.16628617597868953</v>
      </c>
      <c r="W116" s="192">
        <v>-3909.4142711960703</v>
      </c>
      <c r="X116" s="192">
        <v>677.76043755137869</v>
      </c>
      <c r="Y116" s="192">
        <v>-3909.4142711960703</v>
      </c>
      <c r="Z116" s="192">
        <v>677.76043755137869</v>
      </c>
      <c r="AB116" s="188">
        <v>54.1</v>
      </c>
      <c r="AC116" s="189">
        <v>91</v>
      </c>
      <c r="AD116" s="189">
        <v>3.15</v>
      </c>
      <c r="AE116" s="189">
        <v>5000</v>
      </c>
      <c r="AF116" s="235">
        <v>0</v>
      </c>
      <c r="AG116" s="235">
        <v>0</v>
      </c>
      <c r="AH116" s="241">
        <v>1</v>
      </c>
      <c r="AI116" s="241">
        <v>0</v>
      </c>
      <c r="AJ116" s="242">
        <v>6095</v>
      </c>
    </row>
    <row r="117" spans="1:36" ht="20.25" customHeight="1">
      <c r="A117" s="83"/>
      <c r="B117" s="83"/>
      <c r="D117"/>
      <c r="E117" s="216">
        <v>54.1</v>
      </c>
      <c r="F117">
        <v>91</v>
      </c>
      <c r="G117">
        <v>3.15</v>
      </c>
      <c r="H117">
        <v>5000</v>
      </c>
      <c r="I117" s="222">
        <v>0</v>
      </c>
      <c r="J117" s="222">
        <v>0</v>
      </c>
      <c r="K117" s="219">
        <v>0</v>
      </c>
      <c r="L117" s="219">
        <v>1</v>
      </c>
      <c r="M117" s="219">
        <v>0</v>
      </c>
      <c r="N117" s="83">
        <v>6795</v>
      </c>
      <c r="O117" s="83"/>
      <c r="P117" s="83"/>
      <c r="Q117" s="83"/>
      <c r="R117" s="229" t="s">
        <v>78</v>
      </c>
      <c r="S117" s="192">
        <v>-2187.7279820003037</v>
      </c>
      <c r="T117" s="192">
        <v>816.36741859769234</v>
      </c>
      <c r="U117" s="192">
        <v>-2.6798325510812928</v>
      </c>
      <c r="V117" s="229">
        <v>7.9991004915808701E-3</v>
      </c>
      <c r="W117" s="192">
        <v>-3797.8229363584228</v>
      </c>
      <c r="X117" s="192">
        <v>-577.63302764218452</v>
      </c>
      <c r="Y117" s="192">
        <v>-3797.8229363584228</v>
      </c>
      <c r="Z117" s="192">
        <v>-577.63302764218452</v>
      </c>
      <c r="AB117" s="186">
        <v>54.1</v>
      </c>
      <c r="AC117" s="187">
        <v>91</v>
      </c>
      <c r="AD117" s="187">
        <v>3.15</v>
      </c>
      <c r="AE117" s="187">
        <v>5000</v>
      </c>
      <c r="AF117" s="234">
        <v>0</v>
      </c>
      <c r="AG117" s="234">
        <v>0</v>
      </c>
      <c r="AH117" s="239">
        <v>1</v>
      </c>
      <c r="AI117" s="239">
        <v>0</v>
      </c>
      <c r="AJ117" s="240">
        <v>6795</v>
      </c>
    </row>
    <row r="118" spans="1:36" ht="20.25" customHeight="1">
      <c r="A118" s="83"/>
      <c r="B118" s="83"/>
      <c r="D118"/>
      <c r="E118" s="216">
        <v>54.1</v>
      </c>
      <c r="F118">
        <v>91</v>
      </c>
      <c r="G118">
        <v>3.15</v>
      </c>
      <c r="H118">
        <v>5000</v>
      </c>
      <c r="I118" s="222">
        <v>0</v>
      </c>
      <c r="J118" s="222">
        <v>0</v>
      </c>
      <c r="K118" s="219">
        <v>0</v>
      </c>
      <c r="L118" s="219">
        <v>1</v>
      </c>
      <c r="M118" s="219">
        <v>0</v>
      </c>
      <c r="N118" s="83">
        <v>6695</v>
      </c>
      <c r="O118" s="83"/>
      <c r="P118" s="83"/>
      <c r="Q118" s="83"/>
      <c r="R118" s="192" t="s">
        <v>81</v>
      </c>
      <c r="S118" s="192">
        <v>2.9169611300525276</v>
      </c>
      <c r="T118" s="192">
        <v>0.59494392679924257</v>
      </c>
      <c r="U118" s="192">
        <v>4.9029177350302202</v>
      </c>
      <c r="V118" s="192">
        <v>1.9905461314031669E-6</v>
      </c>
      <c r="W118" s="192">
        <v>1.7435725395194579</v>
      </c>
      <c r="X118" s="192">
        <v>4.0903497205855972</v>
      </c>
      <c r="Y118" s="192">
        <v>1.7435725395194579</v>
      </c>
      <c r="Z118" s="192">
        <v>4.0903497205855972</v>
      </c>
      <c r="AB118" s="188">
        <v>54.1</v>
      </c>
      <c r="AC118" s="189">
        <v>91</v>
      </c>
      <c r="AD118" s="189">
        <v>3.15</v>
      </c>
      <c r="AE118" s="189">
        <v>5000</v>
      </c>
      <c r="AF118" s="235">
        <v>0</v>
      </c>
      <c r="AG118" s="235">
        <v>0</v>
      </c>
      <c r="AH118" s="241">
        <v>1</v>
      </c>
      <c r="AI118" s="241">
        <v>0</v>
      </c>
      <c r="AJ118" s="242">
        <v>6695</v>
      </c>
    </row>
    <row r="119" spans="1:36" ht="20.25" customHeight="1">
      <c r="A119" s="83"/>
      <c r="B119" s="83"/>
      <c r="D119"/>
      <c r="E119" s="216">
        <v>54.1</v>
      </c>
      <c r="F119">
        <v>91</v>
      </c>
      <c r="G119">
        <v>3.15</v>
      </c>
      <c r="H119">
        <v>5000</v>
      </c>
      <c r="I119" s="222">
        <v>0</v>
      </c>
      <c r="J119" s="222">
        <v>0</v>
      </c>
      <c r="K119" s="219">
        <v>0</v>
      </c>
      <c r="L119" s="219">
        <v>1</v>
      </c>
      <c r="M119" s="219">
        <v>0</v>
      </c>
      <c r="N119" s="83">
        <v>7395</v>
      </c>
      <c r="O119" s="83"/>
      <c r="P119" s="83"/>
      <c r="Q119" s="83"/>
      <c r="R119" s="192" t="s">
        <v>9</v>
      </c>
      <c r="S119" s="192">
        <v>1954.2238527896748</v>
      </c>
      <c r="T119" s="192">
        <v>986.58445791473093</v>
      </c>
      <c r="U119" s="192">
        <v>1.9807973226338575</v>
      </c>
      <c r="V119" s="196">
        <v>4.9027035776082868E-2</v>
      </c>
      <c r="W119" s="192">
        <v>8.415358294303374</v>
      </c>
      <c r="X119" s="192">
        <v>3900.0323472850459</v>
      </c>
      <c r="Y119" s="192">
        <v>8.415358294303374</v>
      </c>
      <c r="Z119" s="192">
        <v>3900.0323472850459</v>
      </c>
      <c r="AB119" s="186">
        <v>54.1</v>
      </c>
      <c r="AC119" s="187">
        <v>91</v>
      </c>
      <c r="AD119" s="187">
        <v>3.15</v>
      </c>
      <c r="AE119" s="187">
        <v>5000</v>
      </c>
      <c r="AF119" s="234">
        <v>0</v>
      </c>
      <c r="AG119" s="234">
        <v>0</v>
      </c>
      <c r="AH119" s="239">
        <v>1</v>
      </c>
      <c r="AI119" s="239">
        <v>0</v>
      </c>
      <c r="AJ119" s="240">
        <v>7395</v>
      </c>
    </row>
    <row r="120" spans="1:36" ht="20.25" customHeight="1">
      <c r="A120" s="83"/>
      <c r="B120" s="83"/>
      <c r="D120"/>
      <c r="E120" s="216">
        <v>49.6</v>
      </c>
      <c r="F120">
        <v>70</v>
      </c>
      <c r="G120">
        <v>3.2549999999999999</v>
      </c>
      <c r="H120">
        <v>6000</v>
      </c>
      <c r="I120" s="222">
        <v>0</v>
      </c>
      <c r="J120" s="222">
        <v>0</v>
      </c>
      <c r="K120" s="219">
        <v>0</v>
      </c>
      <c r="L120" s="219">
        <v>0</v>
      </c>
      <c r="M120" s="219">
        <v>0</v>
      </c>
      <c r="N120" s="83">
        <v>10945</v>
      </c>
      <c r="O120" s="83"/>
      <c r="P120" s="83"/>
      <c r="Q120" s="83"/>
      <c r="R120" s="192" t="s">
        <v>8</v>
      </c>
      <c r="S120" s="192">
        <v>2038.1401015522365</v>
      </c>
      <c r="T120" s="192">
        <v>657.50089557426395</v>
      </c>
      <c r="U120" s="192">
        <v>3.0998286318258419</v>
      </c>
      <c r="V120" s="192">
        <v>2.2243822987752619E-3</v>
      </c>
      <c r="W120" s="192">
        <v>741.37243256743773</v>
      </c>
      <c r="X120" s="192">
        <v>3334.907770537035</v>
      </c>
      <c r="Y120" s="192">
        <v>741.37243256743773</v>
      </c>
      <c r="Z120" s="192">
        <v>3334.907770537035</v>
      </c>
      <c r="AB120" s="188">
        <v>49.6</v>
      </c>
      <c r="AC120" s="189">
        <v>70</v>
      </c>
      <c r="AD120" s="189">
        <v>3.2549999999999999</v>
      </c>
      <c r="AE120" s="189">
        <v>6000</v>
      </c>
      <c r="AF120" s="235">
        <v>0</v>
      </c>
      <c r="AG120" s="235">
        <v>0</v>
      </c>
      <c r="AH120" s="241">
        <v>0</v>
      </c>
      <c r="AI120" s="241">
        <v>0</v>
      </c>
      <c r="AJ120" s="242">
        <v>10945</v>
      </c>
    </row>
    <row r="121" spans="1:36" ht="20.25" customHeight="1">
      <c r="A121" s="83"/>
      <c r="B121" s="83"/>
      <c r="D121"/>
      <c r="E121" s="216">
        <v>49.6</v>
      </c>
      <c r="F121">
        <v>70</v>
      </c>
      <c r="G121">
        <v>3.2549999999999999</v>
      </c>
      <c r="H121">
        <v>6000</v>
      </c>
      <c r="I121" s="222">
        <v>0</v>
      </c>
      <c r="J121" s="222">
        <v>0</v>
      </c>
      <c r="K121" s="219">
        <v>0</v>
      </c>
      <c r="L121" s="219">
        <v>0</v>
      </c>
      <c r="M121" s="219">
        <v>0</v>
      </c>
      <c r="N121" s="83">
        <v>11845</v>
      </c>
      <c r="O121" s="83"/>
      <c r="P121" s="83"/>
      <c r="Q121" s="83"/>
      <c r="R121" s="196" t="s">
        <v>7</v>
      </c>
      <c r="S121" s="192">
        <v>-1983.4643061619083</v>
      </c>
      <c r="T121" s="192">
        <v>1208.3170949601802</v>
      </c>
      <c r="U121" s="192">
        <v>-1.6415097613323704</v>
      </c>
      <c r="V121" s="196">
        <v>0.10231176145464221</v>
      </c>
      <c r="W121" s="192">
        <v>-4366.5888816158385</v>
      </c>
      <c r="X121" s="192">
        <v>399.66026929202172</v>
      </c>
      <c r="Y121" s="192">
        <v>-4366.5888816158385</v>
      </c>
      <c r="Z121" s="192">
        <v>399.66026929202172</v>
      </c>
      <c r="AB121" s="186">
        <v>49.6</v>
      </c>
      <c r="AC121" s="187">
        <v>70</v>
      </c>
      <c r="AD121" s="187">
        <v>3.2549999999999999</v>
      </c>
      <c r="AE121" s="187">
        <v>6000</v>
      </c>
      <c r="AF121" s="234">
        <v>0</v>
      </c>
      <c r="AG121" s="234">
        <v>0</v>
      </c>
      <c r="AH121" s="239">
        <v>0</v>
      </c>
      <c r="AI121" s="239">
        <v>0</v>
      </c>
      <c r="AJ121" s="240">
        <v>11845</v>
      </c>
    </row>
    <row r="122" spans="1:36" ht="20.25" customHeight="1">
      <c r="A122" s="83"/>
      <c r="B122" s="83"/>
      <c r="D122"/>
      <c r="E122" s="216">
        <v>49.6</v>
      </c>
      <c r="F122">
        <v>70</v>
      </c>
      <c r="G122">
        <v>3.2549999999999999</v>
      </c>
      <c r="H122">
        <v>6000</v>
      </c>
      <c r="I122" s="222">
        <v>0</v>
      </c>
      <c r="J122" s="222">
        <v>0</v>
      </c>
      <c r="K122" s="219">
        <v>0</v>
      </c>
      <c r="L122" s="219">
        <v>0</v>
      </c>
      <c r="M122" s="219">
        <v>0</v>
      </c>
      <c r="N122" s="83">
        <v>13645</v>
      </c>
      <c r="O122" s="83"/>
      <c r="P122" s="83"/>
      <c r="Q122" s="83"/>
      <c r="R122" s="192" t="s">
        <v>6</v>
      </c>
      <c r="S122" s="192">
        <v>-2990.1230901600061</v>
      </c>
      <c r="T122" s="192">
        <v>625.22500405698122</v>
      </c>
      <c r="U122" s="192">
        <v>-4.7824752221321827</v>
      </c>
      <c r="V122" s="192">
        <v>3.4184741615386187E-6</v>
      </c>
      <c r="W122" s="192">
        <v>-4223.234066220125</v>
      </c>
      <c r="X122" s="192">
        <v>-1757.0121140998872</v>
      </c>
      <c r="Y122" s="192">
        <v>-4223.234066220125</v>
      </c>
      <c r="Z122" s="192">
        <v>-1757.0121140998872</v>
      </c>
      <c r="AB122" s="188">
        <v>49.6</v>
      </c>
      <c r="AC122" s="189">
        <v>70</v>
      </c>
      <c r="AD122" s="189">
        <v>3.2549999999999999</v>
      </c>
      <c r="AE122" s="189">
        <v>6000</v>
      </c>
      <c r="AF122" s="235">
        <v>0</v>
      </c>
      <c r="AG122" s="235">
        <v>0</v>
      </c>
      <c r="AH122" s="241">
        <v>0</v>
      </c>
      <c r="AI122" s="241">
        <v>0</v>
      </c>
      <c r="AJ122" s="242">
        <v>13645</v>
      </c>
    </row>
    <row r="123" spans="1:36" ht="20.25" customHeight="1" thickBot="1">
      <c r="A123" s="83"/>
      <c r="B123" s="83"/>
      <c r="D123"/>
      <c r="E123" s="216">
        <v>49.6</v>
      </c>
      <c r="F123">
        <v>80</v>
      </c>
      <c r="G123">
        <v>3.2549999999999999</v>
      </c>
      <c r="H123">
        <v>6000</v>
      </c>
      <c r="I123" s="222">
        <v>0</v>
      </c>
      <c r="J123" s="222">
        <v>0</v>
      </c>
      <c r="K123" s="219">
        <v>0</v>
      </c>
      <c r="L123" s="219">
        <v>0</v>
      </c>
      <c r="M123" s="219">
        <v>0</v>
      </c>
      <c r="N123" s="83">
        <v>15645</v>
      </c>
      <c r="O123" s="83"/>
      <c r="P123" s="83"/>
      <c r="Q123" s="83"/>
      <c r="R123" s="194" t="s">
        <v>10</v>
      </c>
      <c r="S123" s="194">
        <v>7823.7244053889599</v>
      </c>
      <c r="T123" s="194">
        <v>2000.4673277326892</v>
      </c>
      <c r="U123" s="194">
        <v>3.9109483553806874</v>
      </c>
      <c r="V123" s="194">
        <v>1.270655312042621E-4</v>
      </c>
      <c r="W123" s="194">
        <v>3878.2676449104279</v>
      </c>
      <c r="X123" s="194">
        <v>11769.181165867492</v>
      </c>
      <c r="Y123" s="194">
        <v>3878.2676449104279</v>
      </c>
      <c r="Z123" s="194">
        <v>11769.181165867492</v>
      </c>
      <c r="AB123" s="186">
        <v>49.6</v>
      </c>
      <c r="AC123" s="187">
        <v>80</v>
      </c>
      <c r="AD123" s="187">
        <v>3.2549999999999999</v>
      </c>
      <c r="AE123" s="187">
        <v>6000</v>
      </c>
      <c r="AF123" s="234">
        <v>0</v>
      </c>
      <c r="AG123" s="234">
        <v>0</v>
      </c>
      <c r="AH123" s="239">
        <v>0</v>
      </c>
      <c r="AI123" s="239">
        <v>0</v>
      </c>
      <c r="AJ123" s="240">
        <v>15645</v>
      </c>
    </row>
    <row r="124" spans="1:36" ht="20.25" customHeight="1">
      <c r="A124" s="83"/>
      <c r="B124" s="83"/>
      <c r="D124"/>
      <c r="E124" s="216">
        <v>53.7</v>
      </c>
      <c r="F124">
        <v>122</v>
      </c>
      <c r="G124">
        <v>3.39</v>
      </c>
      <c r="H124">
        <v>4800</v>
      </c>
      <c r="I124" s="222">
        <v>0</v>
      </c>
      <c r="J124" s="222">
        <v>0</v>
      </c>
      <c r="K124" s="219">
        <v>0</v>
      </c>
      <c r="L124" s="219">
        <v>1</v>
      </c>
      <c r="M124" s="219">
        <v>0</v>
      </c>
      <c r="N124" s="83">
        <v>8845</v>
      </c>
      <c r="O124" s="83"/>
      <c r="P124" s="83"/>
      <c r="Q124" s="83"/>
      <c r="R124" s="217"/>
      <c r="S124" s="217"/>
      <c r="T124" s="217"/>
      <c r="U124" s="217"/>
      <c r="V124" s="217"/>
      <c r="W124" s="217"/>
      <c r="X124" s="217"/>
      <c r="Y124" s="217"/>
      <c r="Z124" s="217"/>
      <c r="AB124" s="188">
        <v>53.7</v>
      </c>
      <c r="AC124" s="189">
        <v>122</v>
      </c>
      <c r="AD124" s="189">
        <v>3.39</v>
      </c>
      <c r="AE124" s="189">
        <v>4800</v>
      </c>
      <c r="AF124" s="235">
        <v>0</v>
      </c>
      <c r="AG124" s="235">
        <v>0</v>
      </c>
      <c r="AH124" s="241">
        <v>1</v>
      </c>
      <c r="AI124" s="241">
        <v>0</v>
      </c>
      <c r="AJ124" s="242">
        <v>8845</v>
      </c>
    </row>
    <row r="125" spans="1:36" ht="20.25" customHeight="1">
      <c r="A125" s="83"/>
      <c r="B125" s="83"/>
      <c r="D125"/>
      <c r="E125" s="216">
        <v>55.5</v>
      </c>
      <c r="F125">
        <v>122</v>
      </c>
      <c r="G125">
        <v>3.39</v>
      </c>
      <c r="H125">
        <v>4800</v>
      </c>
      <c r="I125" s="222">
        <v>0</v>
      </c>
      <c r="J125" s="222">
        <v>0</v>
      </c>
      <c r="K125" s="219">
        <v>0</v>
      </c>
      <c r="L125" s="219">
        <v>1</v>
      </c>
      <c r="M125" s="219">
        <v>0</v>
      </c>
      <c r="N125" s="83">
        <v>8495</v>
      </c>
      <c r="O125" s="83"/>
      <c r="P125" s="83"/>
      <c r="Q125" s="83"/>
      <c r="R125" s="217"/>
      <c r="S125" s="217"/>
      <c r="T125" s="217"/>
      <c r="U125" s="217"/>
      <c r="V125" s="217"/>
      <c r="W125" s="217"/>
      <c r="X125" s="217"/>
      <c r="Y125" s="217"/>
      <c r="Z125" s="217"/>
      <c r="AB125" s="186">
        <v>55.5</v>
      </c>
      <c r="AC125" s="187">
        <v>122</v>
      </c>
      <c r="AD125" s="187">
        <v>3.39</v>
      </c>
      <c r="AE125" s="187">
        <v>4800</v>
      </c>
      <c r="AF125" s="234">
        <v>0</v>
      </c>
      <c r="AG125" s="234">
        <v>0</v>
      </c>
      <c r="AH125" s="239">
        <v>1</v>
      </c>
      <c r="AI125" s="239">
        <v>0</v>
      </c>
      <c r="AJ125" s="240">
        <v>8495</v>
      </c>
    </row>
    <row r="126" spans="1:36" ht="20.25" customHeight="1">
      <c r="A126" s="83"/>
      <c r="B126" s="83"/>
      <c r="D126"/>
      <c r="E126" s="216">
        <v>53.7</v>
      </c>
      <c r="F126">
        <v>122</v>
      </c>
      <c r="G126">
        <v>3.39</v>
      </c>
      <c r="H126">
        <v>4800</v>
      </c>
      <c r="I126" s="222">
        <v>0</v>
      </c>
      <c r="J126" s="222">
        <v>0</v>
      </c>
      <c r="K126" s="219">
        <v>0</v>
      </c>
      <c r="L126" s="219">
        <v>1</v>
      </c>
      <c r="M126" s="219">
        <v>0</v>
      </c>
      <c r="N126" s="83">
        <v>10595</v>
      </c>
      <c r="O126" s="83"/>
      <c r="P126" s="83"/>
      <c r="Q126" s="83"/>
      <c r="R126" s="217" t="s">
        <v>117</v>
      </c>
      <c r="S126" s="217"/>
      <c r="T126" s="217"/>
      <c r="U126" s="217"/>
      <c r="V126" s="217"/>
      <c r="W126" s="217"/>
      <c r="X126" s="217"/>
      <c r="Y126" s="217"/>
      <c r="Z126" s="217"/>
      <c r="AB126" s="188">
        <v>53.7</v>
      </c>
      <c r="AC126" s="189">
        <v>122</v>
      </c>
      <c r="AD126" s="189">
        <v>3.39</v>
      </c>
      <c r="AE126" s="189">
        <v>4800</v>
      </c>
      <c r="AF126" s="235">
        <v>0</v>
      </c>
      <c r="AG126" s="235">
        <v>0</v>
      </c>
      <c r="AH126" s="241">
        <v>1</v>
      </c>
      <c r="AI126" s="241">
        <v>0</v>
      </c>
      <c r="AJ126" s="242">
        <v>10595</v>
      </c>
    </row>
    <row r="127" spans="1:36" ht="20.25" customHeight="1" thickBot="1">
      <c r="A127" s="83"/>
      <c r="B127" s="83"/>
      <c r="D127"/>
      <c r="E127" s="216">
        <v>55.5</v>
      </c>
      <c r="F127">
        <v>122</v>
      </c>
      <c r="G127">
        <v>3.39</v>
      </c>
      <c r="H127">
        <v>4800</v>
      </c>
      <c r="I127" s="222">
        <v>0</v>
      </c>
      <c r="J127" s="222">
        <v>0</v>
      </c>
      <c r="K127" s="219">
        <v>0</v>
      </c>
      <c r="L127" s="219">
        <v>1</v>
      </c>
      <c r="M127" s="219">
        <v>0</v>
      </c>
      <c r="N127" s="83">
        <v>10245</v>
      </c>
      <c r="O127" s="83"/>
      <c r="P127" s="83"/>
      <c r="Q127" s="83"/>
      <c r="R127" s="217"/>
      <c r="S127" s="217"/>
      <c r="T127" s="217"/>
      <c r="U127" s="217"/>
      <c r="V127" s="217"/>
      <c r="W127" s="217"/>
      <c r="X127" s="217"/>
      <c r="Y127" s="217"/>
      <c r="Z127" s="217"/>
      <c r="AB127" s="186">
        <v>55.5</v>
      </c>
      <c r="AC127" s="187">
        <v>122</v>
      </c>
      <c r="AD127" s="187">
        <v>3.39</v>
      </c>
      <c r="AE127" s="187">
        <v>4800</v>
      </c>
      <c r="AF127" s="234">
        <v>0</v>
      </c>
      <c r="AG127" s="234">
        <v>0</v>
      </c>
      <c r="AH127" s="239">
        <v>1</v>
      </c>
      <c r="AI127" s="239">
        <v>0</v>
      </c>
      <c r="AJ127" s="240">
        <v>10245</v>
      </c>
    </row>
    <row r="128" spans="1:36" ht="20.25" customHeight="1">
      <c r="A128" s="83"/>
      <c r="B128" s="83"/>
      <c r="D128"/>
      <c r="E128" s="216">
        <v>55.5</v>
      </c>
      <c r="F128">
        <v>122</v>
      </c>
      <c r="G128">
        <v>3.39</v>
      </c>
      <c r="H128">
        <v>4650</v>
      </c>
      <c r="I128" s="222">
        <v>1</v>
      </c>
      <c r="J128" s="222">
        <v>0</v>
      </c>
      <c r="K128" s="219">
        <v>0</v>
      </c>
      <c r="L128" s="219">
        <v>1</v>
      </c>
      <c r="M128" s="219">
        <v>0</v>
      </c>
      <c r="N128" s="83">
        <v>10795</v>
      </c>
      <c r="O128" s="83"/>
      <c r="P128" s="83"/>
      <c r="Q128" s="83"/>
      <c r="R128" s="224" t="s">
        <v>118</v>
      </c>
      <c r="S128" s="224"/>
      <c r="T128" s="217"/>
      <c r="U128" s="217"/>
      <c r="V128" s="217"/>
      <c r="W128" s="217"/>
      <c r="X128" s="217"/>
      <c r="Y128" s="217"/>
      <c r="Z128" s="217"/>
      <c r="AB128" s="188">
        <v>55.5</v>
      </c>
      <c r="AC128" s="189">
        <v>122</v>
      </c>
      <c r="AD128" s="189">
        <v>3.39</v>
      </c>
      <c r="AE128" s="189">
        <v>4650</v>
      </c>
      <c r="AF128" s="235">
        <v>1</v>
      </c>
      <c r="AG128" s="235">
        <v>0</v>
      </c>
      <c r="AH128" s="241">
        <v>1</v>
      </c>
      <c r="AI128" s="241">
        <v>0</v>
      </c>
      <c r="AJ128" s="242">
        <v>10795</v>
      </c>
    </row>
    <row r="129" spans="1:36" ht="20.25" customHeight="1">
      <c r="A129" s="83"/>
      <c r="B129" s="83"/>
      <c r="D129"/>
      <c r="E129" s="216">
        <v>55.5</v>
      </c>
      <c r="F129">
        <v>122</v>
      </c>
      <c r="G129">
        <v>3.39</v>
      </c>
      <c r="H129">
        <v>4800</v>
      </c>
      <c r="I129" s="222">
        <v>0</v>
      </c>
      <c r="J129" s="222">
        <v>0</v>
      </c>
      <c r="K129" s="219">
        <v>0</v>
      </c>
      <c r="L129" s="219">
        <v>1</v>
      </c>
      <c r="M129" s="219">
        <v>0</v>
      </c>
      <c r="N129" s="83">
        <v>11245</v>
      </c>
      <c r="O129" s="83"/>
      <c r="P129" s="83"/>
      <c r="Q129" s="83"/>
      <c r="R129" s="192" t="s">
        <v>119</v>
      </c>
      <c r="S129" s="192">
        <v>0.92366811402723537</v>
      </c>
      <c r="T129" s="217"/>
      <c r="U129" s="217"/>
      <c r="V129" s="217"/>
      <c r="W129" s="217"/>
      <c r="X129" s="217"/>
      <c r="Y129" s="217"/>
      <c r="Z129" s="217"/>
      <c r="AB129" s="186">
        <v>55.5</v>
      </c>
      <c r="AC129" s="187">
        <v>122</v>
      </c>
      <c r="AD129" s="187">
        <v>3.39</v>
      </c>
      <c r="AE129" s="187">
        <v>4800</v>
      </c>
      <c r="AF129" s="234">
        <v>0</v>
      </c>
      <c r="AG129" s="234">
        <v>0</v>
      </c>
      <c r="AH129" s="239">
        <v>1</v>
      </c>
      <c r="AI129" s="239">
        <v>0</v>
      </c>
      <c r="AJ129" s="240">
        <v>11245</v>
      </c>
    </row>
    <row r="130" spans="1:36" ht="20.25" customHeight="1">
      <c r="A130" s="83"/>
      <c r="B130" s="83"/>
      <c r="D130"/>
      <c r="E130" s="216">
        <v>54.4</v>
      </c>
      <c r="F130">
        <v>140</v>
      </c>
      <c r="G130">
        <v>3.16</v>
      </c>
      <c r="H130">
        <v>5000</v>
      </c>
      <c r="I130" s="222">
        <v>0</v>
      </c>
      <c r="J130" s="222">
        <v>0</v>
      </c>
      <c r="K130" s="219">
        <v>0</v>
      </c>
      <c r="L130" s="219">
        <v>0</v>
      </c>
      <c r="M130" s="219">
        <v>0</v>
      </c>
      <c r="N130" s="83">
        <v>18280</v>
      </c>
      <c r="O130" s="83"/>
      <c r="P130" s="83"/>
      <c r="Q130" s="83"/>
      <c r="R130" s="192" t="s">
        <v>120</v>
      </c>
      <c r="S130" s="192">
        <v>0.8531627848706298</v>
      </c>
      <c r="T130" s="217"/>
      <c r="U130" s="217"/>
      <c r="V130" s="217"/>
      <c r="W130" s="217"/>
      <c r="X130" s="217"/>
      <c r="Y130" s="217"/>
      <c r="Z130" s="217"/>
      <c r="AB130" s="188">
        <v>54.4</v>
      </c>
      <c r="AC130" s="189">
        <v>140</v>
      </c>
      <c r="AD130" s="189">
        <v>3.16</v>
      </c>
      <c r="AE130" s="189">
        <v>5000</v>
      </c>
      <c r="AF130" s="235">
        <v>0</v>
      </c>
      <c r="AG130" s="235">
        <v>0</v>
      </c>
      <c r="AH130" s="241">
        <v>0</v>
      </c>
      <c r="AI130" s="241">
        <v>0</v>
      </c>
      <c r="AJ130" s="242">
        <v>18280</v>
      </c>
    </row>
    <row r="131" spans="1:36" ht="20.25" customHeight="1">
      <c r="A131" s="83"/>
      <c r="B131" s="83"/>
      <c r="D131"/>
      <c r="E131" s="216">
        <v>54.4</v>
      </c>
      <c r="F131">
        <v>134</v>
      </c>
      <c r="G131">
        <v>3.64</v>
      </c>
      <c r="H131">
        <v>4200</v>
      </c>
      <c r="I131" s="222">
        <v>1</v>
      </c>
      <c r="J131" s="222">
        <v>0</v>
      </c>
      <c r="K131" s="219">
        <v>0</v>
      </c>
      <c r="L131" s="219">
        <v>0</v>
      </c>
      <c r="M131" s="219">
        <v>0</v>
      </c>
      <c r="N131" s="83">
        <v>18344</v>
      </c>
      <c r="O131" s="83"/>
      <c r="P131" s="83"/>
      <c r="Q131" s="83"/>
      <c r="R131" s="192" t="s">
        <v>121</v>
      </c>
      <c r="S131" s="192">
        <v>0.84638568263388969</v>
      </c>
      <c r="T131" s="217"/>
      <c r="U131" s="217"/>
      <c r="V131" s="217"/>
      <c r="W131" s="217"/>
      <c r="X131" s="217"/>
      <c r="Y131" s="217"/>
      <c r="Z131" s="217"/>
      <c r="AB131" s="186">
        <v>54.4</v>
      </c>
      <c r="AC131" s="187">
        <v>134</v>
      </c>
      <c r="AD131" s="187">
        <v>3.64</v>
      </c>
      <c r="AE131" s="187">
        <v>4200</v>
      </c>
      <c r="AF131" s="234">
        <v>1</v>
      </c>
      <c r="AG131" s="234">
        <v>0</v>
      </c>
      <c r="AH131" s="239">
        <v>0</v>
      </c>
      <c r="AI131" s="239">
        <v>0</v>
      </c>
      <c r="AJ131" s="240">
        <v>18344</v>
      </c>
    </row>
    <row r="132" spans="1:36" ht="20.25" customHeight="1">
      <c r="A132" s="83"/>
      <c r="B132" s="83"/>
      <c r="D132"/>
      <c r="E132" s="216">
        <v>56.5</v>
      </c>
      <c r="F132">
        <v>183</v>
      </c>
      <c r="G132">
        <v>3.64</v>
      </c>
      <c r="H132">
        <v>4350</v>
      </c>
      <c r="I132" s="222">
        <v>1</v>
      </c>
      <c r="J132" s="222">
        <v>1</v>
      </c>
      <c r="K132" s="219">
        <v>0</v>
      </c>
      <c r="L132" s="219">
        <v>0</v>
      </c>
      <c r="M132" s="219">
        <v>0</v>
      </c>
      <c r="N132" s="83">
        <v>25552</v>
      </c>
      <c r="O132" s="83"/>
      <c r="P132" s="83"/>
      <c r="Q132" s="83"/>
      <c r="R132" s="192" t="s">
        <v>122</v>
      </c>
      <c r="S132" s="192">
        <v>3131.1238138994513</v>
      </c>
      <c r="T132" s="217"/>
      <c r="U132" s="217"/>
      <c r="V132" s="217"/>
      <c r="W132" s="217"/>
      <c r="X132" s="217"/>
      <c r="Y132" s="217"/>
      <c r="Z132" s="217"/>
      <c r="AB132" s="188">
        <v>56.5</v>
      </c>
      <c r="AC132" s="189">
        <v>183</v>
      </c>
      <c r="AD132" s="189">
        <v>3.64</v>
      </c>
      <c r="AE132" s="189">
        <v>4350</v>
      </c>
      <c r="AF132" s="235">
        <v>1</v>
      </c>
      <c r="AG132" s="235">
        <v>1</v>
      </c>
      <c r="AH132" s="241">
        <v>0</v>
      </c>
      <c r="AI132" s="241">
        <v>0</v>
      </c>
      <c r="AJ132" s="242">
        <v>25552</v>
      </c>
    </row>
    <row r="133" spans="1:36" ht="20.25" customHeight="1" thickBot="1">
      <c r="A133" s="83"/>
      <c r="B133" s="83"/>
      <c r="D133"/>
      <c r="E133" s="216">
        <v>58.7</v>
      </c>
      <c r="F133">
        <v>183</v>
      </c>
      <c r="G133">
        <v>3.64</v>
      </c>
      <c r="H133">
        <v>4350</v>
      </c>
      <c r="I133" s="222">
        <v>1</v>
      </c>
      <c r="J133" s="222">
        <v>1</v>
      </c>
      <c r="K133" s="219">
        <v>0</v>
      </c>
      <c r="L133" s="219">
        <v>0</v>
      </c>
      <c r="M133" s="219">
        <v>0</v>
      </c>
      <c r="N133" s="83">
        <v>28248</v>
      </c>
      <c r="O133" s="83"/>
      <c r="P133" s="83"/>
      <c r="Q133" s="83"/>
      <c r="R133" s="194" t="s">
        <v>123</v>
      </c>
      <c r="S133" s="194">
        <v>205</v>
      </c>
      <c r="T133" s="217"/>
      <c r="U133" s="217"/>
      <c r="V133" s="217"/>
      <c r="W133" s="217"/>
      <c r="X133" s="217"/>
      <c r="Y133" s="217"/>
      <c r="Z133" s="217"/>
      <c r="AB133" s="186">
        <v>58.7</v>
      </c>
      <c r="AC133" s="187">
        <v>183</v>
      </c>
      <c r="AD133" s="187">
        <v>3.64</v>
      </c>
      <c r="AE133" s="187">
        <v>4350</v>
      </c>
      <c r="AF133" s="234">
        <v>1</v>
      </c>
      <c r="AG133" s="234">
        <v>1</v>
      </c>
      <c r="AH133" s="239">
        <v>0</v>
      </c>
      <c r="AI133" s="239">
        <v>0</v>
      </c>
      <c r="AJ133" s="240">
        <v>28248</v>
      </c>
    </row>
    <row r="134" spans="1:36" ht="20.25" customHeight="1">
      <c r="A134" s="83"/>
      <c r="B134" s="83"/>
      <c r="D134"/>
      <c r="E134" s="216">
        <v>54.9</v>
      </c>
      <c r="F134">
        <v>183</v>
      </c>
      <c r="G134">
        <v>3.64</v>
      </c>
      <c r="H134">
        <v>4350</v>
      </c>
      <c r="I134" s="222">
        <v>1</v>
      </c>
      <c r="J134" s="222">
        <v>1</v>
      </c>
      <c r="K134" s="219">
        <v>0</v>
      </c>
      <c r="L134" s="219">
        <v>0</v>
      </c>
      <c r="M134" s="219">
        <v>0</v>
      </c>
      <c r="N134" s="83">
        <v>28176</v>
      </c>
      <c r="O134" s="83"/>
      <c r="P134" s="83"/>
      <c r="Q134" s="83"/>
      <c r="R134" s="217"/>
      <c r="S134" s="217"/>
      <c r="T134" s="217"/>
      <c r="U134" s="217"/>
      <c r="V134" s="217"/>
      <c r="W134" s="217"/>
      <c r="X134" s="217"/>
      <c r="Y134" s="217"/>
      <c r="Z134" s="217"/>
      <c r="AB134" s="188">
        <v>54.9</v>
      </c>
      <c r="AC134" s="189">
        <v>183</v>
      </c>
      <c r="AD134" s="189">
        <v>3.64</v>
      </c>
      <c r="AE134" s="189">
        <v>4350</v>
      </c>
      <c r="AF134" s="235">
        <v>1</v>
      </c>
      <c r="AG134" s="235">
        <v>1</v>
      </c>
      <c r="AH134" s="241">
        <v>0</v>
      </c>
      <c r="AI134" s="241">
        <v>0</v>
      </c>
      <c r="AJ134" s="242">
        <v>28176</v>
      </c>
    </row>
    <row r="135" spans="1:36" ht="20.25" customHeight="1" thickBot="1">
      <c r="A135" s="83"/>
      <c r="B135" s="83"/>
      <c r="D135"/>
      <c r="E135" s="216">
        <v>56.3</v>
      </c>
      <c r="F135">
        <v>183</v>
      </c>
      <c r="G135">
        <v>3.64</v>
      </c>
      <c r="H135">
        <v>4350</v>
      </c>
      <c r="I135" s="222">
        <v>1</v>
      </c>
      <c r="J135" s="222">
        <v>1</v>
      </c>
      <c r="K135" s="219">
        <v>0</v>
      </c>
      <c r="L135" s="219">
        <v>0</v>
      </c>
      <c r="M135" s="219">
        <v>0</v>
      </c>
      <c r="N135" s="83">
        <v>31600</v>
      </c>
      <c r="O135" s="83"/>
      <c r="P135" s="83"/>
      <c r="Q135" s="83"/>
      <c r="R135" s="217" t="s">
        <v>124</v>
      </c>
      <c r="S135" s="217"/>
      <c r="T135" s="217"/>
      <c r="U135" s="217"/>
      <c r="V135" s="217"/>
      <c r="W135" s="217"/>
      <c r="X135" s="217"/>
      <c r="Y135" s="217"/>
      <c r="Z135" s="217"/>
      <c r="AB135" s="186">
        <v>56.3</v>
      </c>
      <c r="AC135" s="187">
        <v>183</v>
      </c>
      <c r="AD135" s="187">
        <v>3.64</v>
      </c>
      <c r="AE135" s="187">
        <v>4350</v>
      </c>
      <c r="AF135" s="234">
        <v>1</v>
      </c>
      <c r="AG135" s="234">
        <v>1</v>
      </c>
      <c r="AH135" s="239">
        <v>0</v>
      </c>
      <c r="AI135" s="239">
        <v>0</v>
      </c>
      <c r="AJ135" s="240">
        <v>31600</v>
      </c>
    </row>
    <row r="136" spans="1:36" ht="20.25" customHeight="1">
      <c r="A136" s="83"/>
      <c r="B136" s="83"/>
      <c r="D136"/>
      <c r="E136" s="216">
        <v>56.5</v>
      </c>
      <c r="F136">
        <v>234</v>
      </c>
      <c r="G136">
        <v>3.1</v>
      </c>
      <c r="H136">
        <v>4750</v>
      </c>
      <c r="I136" s="222">
        <v>0</v>
      </c>
      <c r="J136" s="222">
        <v>0</v>
      </c>
      <c r="K136" s="219">
        <v>0</v>
      </c>
      <c r="L136" s="219">
        <v>0</v>
      </c>
      <c r="M136" s="219">
        <v>0</v>
      </c>
      <c r="N136" s="83">
        <v>34184</v>
      </c>
      <c r="O136" s="83"/>
      <c r="P136" s="83"/>
      <c r="Q136" s="83"/>
      <c r="R136" s="193"/>
      <c r="S136" s="193" t="s">
        <v>129</v>
      </c>
      <c r="T136" s="193" t="s">
        <v>130</v>
      </c>
      <c r="U136" s="193" t="s">
        <v>131</v>
      </c>
      <c r="V136" s="193" t="s">
        <v>132</v>
      </c>
      <c r="W136" s="193" t="s">
        <v>133</v>
      </c>
      <c r="X136" s="217"/>
      <c r="Y136" s="217"/>
      <c r="Z136" s="217"/>
      <c r="AB136" s="188">
        <v>56.5</v>
      </c>
      <c r="AC136" s="189">
        <v>234</v>
      </c>
      <c r="AD136" s="189">
        <v>3.1</v>
      </c>
      <c r="AE136" s="189">
        <v>4750</v>
      </c>
      <c r="AF136" s="235">
        <v>0</v>
      </c>
      <c r="AG136" s="235">
        <v>0</v>
      </c>
      <c r="AH136" s="241">
        <v>0</v>
      </c>
      <c r="AI136" s="241">
        <v>0</v>
      </c>
      <c r="AJ136" s="242">
        <v>34184</v>
      </c>
    </row>
    <row r="137" spans="1:36" ht="20.25" customHeight="1">
      <c r="A137" s="83"/>
      <c r="B137" s="83"/>
      <c r="D137"/>
      <c r="E137" s="216">
        <v>50.8</v>
      </c>
      <c r="F137">
        <v>234</v>
      </c>
      <c r="G137">
        <v>3.1</v>
      </c>
      <c r="H137">
        <v>4750</v>
      </c>
      <c r="I137" s="222">
        <v>0</v>
      </c>
      <c r="J137" s="222">
        <v>0</v>
      </c>
      <c r="K137" s="219">
        <v>0</v>
      </c>
      <c r="L137" s="219">
        <v>0</v>
      </c>
      <c r="M137" s="219">
        <v>0</v>
      </c>
      <c r="N137" s="83">
        <v>35056</v>
      </c>
      <c r="O137" s="83"/>
      <c r="P137" s="83"/>
      <c r="Q137" s="83"/>
      <c r="R137" s="192" t="s">
        <v>125</v>
      </c>
      <c r="S137" s="192">
        <v>9</v>
      </c>
      <c r="T137" s="192">
        <v>11107871776.089375</v>
      </c>
      <c r="U137" s="192">
        <v>1234207975.1210415</v>
      </c>
      <c r="V137" s="192">
        <v>125.88902381396095</v>
      </c>
      <c r="W137" s="192">
        <v>2.8725913042441331E-76</v>
      </c>
      <c r="X137" s="217"/>
      <c r="Y137" s="217"/>
      <c r="Z137" s="217"/>
      <c r="AB137" s="186">
        <v>50.8</v>
      </c>
      <c r="AC137" s="187">
        <v>234</v>
      </c>
      <c r="AD137" s="187">
        <v>3.1</v>
      </c>
      <c r="AE137" s="187">
        <v>4750</v>
      </c>
      <c r="AF137" s="234">
        <v>0</v>
      </c>
      <c r="AG137" s="234">
        <v>0</v>
      </c>
      <c r="AH137" s="239">
        <v>0</v>
      </c>
      <c r="AI137" s="239">
        <v>0</v>
      </c>
      <c r="AJ137" s="240">
        <v>35056</v>
      </c>
    </row>
    <row r="138" spans="1:36" ht="20.25" customHeight="1">
      <c r="A138" s="83"/>
      <c r="B138" s="83"/>
      <c r="D138"/>
      <c r="E138" s="216">
        <v>56.7</v>
      </c>
      <c r="F138">
        <v>308</v>
      </c>
      <c r="G138">
        <v>3.35</v>
      </c>
      <c r="H138">
        <v>4500</v>
      </c>
      <c r="I138" s="222">
        <v>0</v>
      </c>
      <c r="J138" s="222">
        <v>0</v>
      </c>
      <c r="K138" s="219">
        <v>0</v>
      </c>
      <c r="L138" s="219">
        <v>0</v>
      </c>
      <c r="M138" s="219">
        <v>0</v>
      </c>
      <c r="N138" s="83">
        <v>40960</v>
      </c>
      <c r="O138" s="83"/>
      <c r="P138" s="83"/>
      <c r="Q138" s="83"/>
      <c r="R138" s="192" t="s">
        <v>126</v>
      </c>
      <c r="S138" s="192">
        <v>195</v>
      </c>
      <c r="T138" s="192">
        <v>1911767585.9038079</v>
      </c>
      <c r="U138" s="192">
        <v>9803936.3379682451</v>
      </c>
      <c r="V138" s="192"/>
      <c r="W138" s="192"/>
      <c r="X138" s="217"/>
      <c r="Y138" s="217"/>
      <c r="Z138" s="217"/>
      <c r="AB138" s="188">
        <v>56.7</v>
      </c>
      <c r="AC138" s="189">
        <v>308</v>
      </c>
      <c r="AD138" s="189">
        <v>3.35</v>
      </c>
      <c r="AE138" s="189">
        <v>4500</v>
      </c>
      <c r="AF138" s="235">
        <v>0</v>
      </c>
      <c r="AG138" s="235">
        <v>0</v>
      </c>
      <c r="AH138" s="241">
        <v>0</v>
      </c>
      <c r="AI138" s="241">
        <v>0</v>
      </c>
      <c r="AJ138" s="242">
        <v>40960</v>
      </c>
    </row>
    <row r="139" spans="1:36" ht="20.25" customHeight="1" thickBot="1">
      <c r="A139" s="83"/>
      <c r="B139" s="83"/>
      <c r="D139"/>
      <c r="E139" s="216">
        <v>55.4</v>
      </c>
      <c r="F139">
        <v>304</v>
      </c>
      <c r="G139">
        <v>3.35</v>
      </c>
      <c r="H139">
        <v>4500</v>
      </c>
      <c r="I139" s="222">
        <v>0</v>
      </c>
      <c r="J139" s="222">
        <v>0</v>
      </c>
      <c r="K139" s="219">
        <v>0</v>
      </c>
      <c r="L139" s="219">
        <v>0</v>
      </c>
      <c r="M139" s="219">
        <v>0</v>
      </c>
      <c r="N139" s="83">
        <v>45400</v>
      </c>
      <c r="O139" s="83"/>
      <c r="P139" s="83"/>
      <c r="Q139" s="83"/>
      <c r="R139" s="194" t="s">
        <v>127</v>
      </c>
      <c r="S139" s="194">
        <v>204</v>
      </c>
      <c r="T139" s="194">
        <v>13019639361.993183</v>
      </c>
      <c r="U139" s="194"/>
      <c r="V139" s="194"/>
      <c r="W139" s="194"/>
      <c r="X139" s="217"/>
      <c r="Y139" s="217"/>
      <c r="Z139" s="217"/>
      <c r="AB139" s="186">
        <v>55.4</v>
      </c>
      <c r="AC139" s="187">
        <v>304</v>
      </c>
      <c r="AD139" s="187">
        <v>3.35</v>
      </c>
      <c r="AE139" s="187">
        <v>4500</v>
      </c>
      <c r="AF139" s="234">
        <v>0</v>
      </c>
      <c r="AG139" s="234">
        <v>0</v>
      </c>
      <c r="AH139" s="239">
        <v>0</v>
      </c>
      <c r="AI139" s="239">
        <v>0</v>
      </c>
      <c r="AJ139" s="240">
        <v>45400</v>
      </c>
    </row>
    <row r="140" spans="1:36" ht="20.25" customHeight="1" thickBot="1">
      <c r="A140" s="83"/>
      <c r="B140" s="83"/>
      <c r="D140"/>
      <c r="E140" s="216">
        <v>54.8</v>
      </c>
      <c r="F140">
        <v>140</v>
      </c>
      <c r="G140">
        <v>3.12</v>
      </c>
      <c r="H140">
        <v>5000</v>
      </c>
      <c r="I140" s="222">
        <v>0</v>
      </c>
      <c r="J140" s="222">
        <v>1</v>
      </c>
      <c r="K140" s="219">
        <v>0</v>
      </c>
      <c r="L140" s="219">
        <v>0</v>
      </c>
      <c r="M140" s="219">
        <v>0</v>
      </c>
      <c r="N140" s="83">
        <v>16503</v>
      </c>
      <c r="O140" s="83"/>
      <c r="P140" s="83"/>
      <c r="Q140" s="83"/>
      <c r="R140" s="217"/>
      <c r="S140" s="217"/>
      <c r="T140" s="217"/>
      <c r="U140" s="217"/>
      <c r="V140" s="217"/>
      <c r="W140" s="217"/>
      <c r="X140" s="217"/>
      <c r="Y140" s="217"/>
      <c r="Z140" s="217"/>
      <c r="AB140" s="188">
        <v>54.8</v>
      </c>
      <c r="AC140" s="189">
        <v>140</v>
      </c>
      <c r="AD140" s="189">
        <v>3.12</v>
      </c>
      <c r="AE140" s="189">
        <v>5000</v>
      </c>
      <c r="AF140" s="235">
        <v>0</v>
      </c>
      <c r="AG140" s="235">
        <v>1</v>
      </c>
      <c r="AH140" s="241">
        <v>0</v>
      </c>
      <c r="AI140" s="241">
        <v>0</v>
      </c>
      <c r="AJ140" s="242">
        <v>16503</v>
      </c>
    </row>
    <row r="141" spans="1:36" ht="20.25" customHeight="1">
      <c r="A141" s="83"/>
      <c r="B141" s="83"/>
      <c r="D141"/>
      <c r="E141" s="216">
        <v>50.8</v>
      </c>
      <c r="F141">
        <v>92</v>
      </c>
      <c r="G141">
        <v>3.23</v>
      </c>
      <c r="H141">
        <v>5500</v>
      </c>
      <c r="I141" s="222">
        <v>0</v>
      </c>
      <c r="J141" s="222">
        <v>0</v>
      </c>
      <c r="K141" s="219">
        <v>0</v>
      </c>
      <c r="L141" s="219">
        <v>1</v>
      </c>
      <c r="M141" s="219">
        <v>0</v>
      </c>
      <c r="N141" s="83">
        <v>5389</v>
      </c>
      <c r="O141" s="83"/>
      <c r="P141" s="83"/>
      <c r="Q141" s="83"/>
      <c r="R141" s="193"/>
      <c r="S141" s="193" t="s">
        <v>134</v>
      </c>
      <c r="T141" s="193" t="s">
        <v>122</v>
      </c>
      <c r="U141" s="193" t="s">
        <v>135</v>
      </c>
      <c r="V141" s="193" t="s">
        <v>136</v>
      </c>
      <c r="W141" s="193" t="s">
        <v>137</v>
      </c>
      <c r="X141" s="193" t="s">
        <v>138</v>
      </c>
      <c r="Y141" s="193" t="s">
        <v>139</v>
      </c>
      <c r="Z141" s="193" t="s">
        <v>140</v>
      </c>
      <c r="AB141" s="186">
        <v>50.8</v>
      </c>
      <c r="AC141" s="187">
        <v>92</v>
      </c>
      <c r="AD141" s="187">
        <v>3.23</v>
      </c>
      <c r="AE141" s="187">
        <v>5500</v>
      </c>
      <c r="AF141" s="234">
        <v>0</v>
      </c>
      <c r="AG141" s="234">
        <v>0</v>
      </c>
      <c r="AH141" s="239">
        <v>1</v>
      </c>
      <c r="AI141" s="239">
        <v>0</v>
      </c>
      <c r="AJ141" s="240">
        <v>5389</v>
      </c>
    </row>
    <row r="142" spans="1:36" ht="20.25" customHeight="1">
      <c r="A142" s="83"/>
      <c r="B142" s="83"/>
      <c r="D142"/>
      <c r="E142" s="216">
        <v>50.8</v>
      </c>
      <c r="F142">
        <v>92</v>
      </c>
      <c r="G142">
        <v>3.23</v>
      </c>
      <c r="H142">
        <v>5500</v>
      </c>
      <c r="I142" s="222">
        <v>0</v>
      </c>
      <c r="J142" s="222">
        <v>0</v>
      </c>
      <c r="K142" s="219">
        <v>0</v>
      </c>
      <c r="L142" s="219">
        <v>1</v>
      </c>
      <c r="M142" s="219">
        <v>0</v>
      </c>
      <c r="N142" s="83">
        <v>6189</v>
      </c>
      <c r="O142" s="83"/>
      <c r="P142" s="83"/>
      <c r="Q142" s="83"/>
      <c r="R142" s="192" t="s">
        <v>128</v>
      </c>
      <c r="S142" s="192">
        <v>-30350.724728128433</v>
      </c>
      <c r="T142" s="192">
        <v>7073.7748364722393</v>
      </c>
      <c r="U142" s="192">
        <v>-4.2905980794922556</v>
      </c>
      <c r="V142" s="192">
        <v>2.8034590159930666E-5</v>
      </c>
      <c r="W142" s="192">
        <v>-44301.652118379774</v>
      </c>
      <c r="X142" s="192">
        <v>-16399.797337877095</v>
      </c>
      <c r="Y142" s="192">
        <v>-44301.652118379774</v>
      </c>
      <c r="Z142" s="192">
        <v>-16399.797337877095</v>
      </c>
      <c r="AB142" s="188">
        <v>50.8</v>
      </c>
      <c r="AC142" s="189">
        <v>92</v>
      </c>
      <c r="AD142" s="189">
        <v>3.23</v>
      </c>
      <c r="AE142" s="189">
        <v>5500</v>
      </c>
      <c r="AF142" s="235">
        <v>0</v>
      </c>
      <c r="AG142" s="235">
        <v>0</v>
      </c>
      <c r="AH142" s="241">
        <v>1</v>
      </c>
      <c r="AI142" s="241">
        <v>0</v>
      </c>
      <c r="AJ142" s="242">
        <v>6189</v>
      </c>
    </row>
    <row r="143" spans="1:36" ht="20.25" customHeight="1">
      <c r="A143" s="83"/>
      <c r="B143" s="83"/>
      <c r="D143"/>
      <c r="E143" s="216">
        <v>50.8</v>
      </c>
      <c r="F143">
        <v>92</v>
      </c>
      <c r="G143">
        <v>3.23</v>
      </c>
      <c r="H143">
        <v>5500</v>
      </c>
      <c r="I143" s="222">
        <v>0</v>
      </c>
      <c r="J143" s="222">
        <v>0</v>
      </c>
      <c r="K143" s="219">
        <v>0</v>
      </c>
      <c r="L143" s="219">
        <v>1</v>
      </c>
      <c r="M143" s="219">
        <v>0</v>
      </c>
      <c r="N143" s="83">
        <v>6669</v>
      </c>
      <c r="O143" s="83"/>
      <c r="P143" s="83"/>
      <c r="Q143" s="83"/>
      <c r="R143" s="192" t="s">
        <v>74</v>
      </c>
      <c r="S143" s="192">
        <v>297.29599764725975</v>
      </c>
      <c r="T143" s="192">
        <v>97.920155896121628</v>
      </c>
      <c r="U143" s="192">
        <v>3.036106253370813</v>
      </c>
      <c r="V143" s="192">
        <v>2.7239489511609997E-3</v>
      </c>
      <c r="W143" s="192">
        <v>104.17746948809086</v>
      </c>
      <c r="X143" s="192">
        <v>490.41452580642863</v>
      </c>
      <c r="Y143" s="192">
        <v>104.17746948809086</v>
      </c>
      <c r="Z143" s="192">
        <v>490.41452580642863</v>
      </c>
      <c r="AB143" s="186">
        <v>50.8</v>
      </c>
      <c r="AC143" s="187">
        <v>92</v>
      </c>
      <c r="AD143" s="187">
        <v>3.23</v>
      </c>
      <c r="AE143" s="187">
        <v>5500</v>
      </c>
      <c r="AF143" s="234">
        <v>0</v>
      </c>
      <c r="AG143" s="234">
        <v>0</v>
      </c>
      <c r="AH143" s="239">
        <v>1</v>
      </c>
      <c r="AI143" s="239">
        <v>0</v>
      </c>
      <c r="AJ143" s="240">
        <v>6669</v>
      </c>
    </row>
    <row r="144" spans="1:36" ht="20.25" customHeight="1">
      <c r="A144" s="83"/>
      <c r="B144" s="83"/>
      <c r="D144"/>
      <c r="E144" s="216">
        <v>50.8</v>
      </c>
      <c r="F144">
        <v>98</v>
      </c>
      <c r="G144">
        <v>3.39</v>
      </c>
      <c r="H144">
        <v>5500</v>
      </c>
      <c r="I144" s="222">
        <v>0</v>
      </c>
      <c r="J144" s="222">
        <v>1</v>
      </c>
      <c r="K144" s="219">
        <v>0</v>
      </c>
      <c r="L144" s="219">
        <v>1</v>
      </c>
      <c r="M144" s="219">
        <v>0</v>
      </c>
      <c r="N144" s="83">
        <v>7689</v>
      </c>
      <c r="O144" s="83"/>
      <c r="P144" s="83"/>
      <c r="Q144" s="83"/>
      <c r="R144" s="192" t="s">
        <v>76</v>
      </c>
      <c r="S144" s="192">
        <v>154.02985056818625</v>
      </c>
      <c r="T144" s="192">
        <v>7.1994951687675952</v>
      </c>
      <c r="U144" s="192">
        <v>21.394534888555661</v>
      </c>
      <c r="V144" s="192">
        <v>4.7271249578363959E-53</v>
      </c>
      <c r="W144" s="192">
        <v>139.83097702925519</v>
      </c>
      <c r="X144" s="192">
        <v>168.2287241071173</v>
      </c>
      <c r="Y144" s="192">
        <v>139.83097702925519</v>
      </c>
      <c r="Z144" s="192">
        <v>168.2287241071173</v>
      </c>
      <c r="AB144" s="188">
        <v>50.8</v>
      </c>
      <c r="AC144" s="189">
        <v>98</v>
      </c>
      <c r="AD144" s="189">
        <v>3.39</v>
      </c>
      <c r="AE144" s="189">
        <v>5500</v>
      </c>
      <c r="AF144" s="235">
        <v>0</v>
      </c>
      <c r="AG144" s="235">
        <v>1</v>
      </c>
      <c r="AH144" s="241">
        <v>1</v>
      </c>
      <c r="AI144" s="241">
        <v>0</v>
      </c>
      <c r="AJ144" s="242">
        <v>7689</v>
      </c>
    </row>
    <row r="145" spans="1:36" ht="20.25" customHeight="1">
      <c r="A145" s="83"/>
      <c r="B145" s="83"/>
      <c r="D145"/>
      <c r="E145" s="216">
        <v>49.4</v>
      </c>
      <c r="F145">
        <v>110</v>
      </c>
      <c r="G145">
        <v>3.46</v>
      </c>
      <c r="H145">
        <v>5500</v>
      </c>
      <c r="I145" s="222">
        <v>0</v>
      </c>
      <c r="J145" s="222">
        <v>1</v>
      </c>
      <c r="K145" s="219">
        <v>0</v>
      </c>
      <c r="L145" s="219">
        <v>1</v>
      </c>
      <c r="M145" s="219">
        <v>0</v>
      </c>
      <c r="N145" s="83">
        <v>9959</v>
      </c>
      <c r="O145" s="83"/>
      <c r="P145" s="83"/>
      <c r="Q145" s="83"/>
      <c r="R145" s="192" t="s">
        <v>78</v>
      </c>
      <c r="S145" s="192">
        <v>-2060.962771053516</v>
      </c>
      <c r="T145" s="192">
        <v>813.18692970565246</v>
      </c>
      <c r="U145" s="192">
        <v>-2.5344268282810671</v>
      </c>
      <c r="V145" s="192">
        <v>1.2048934497567283E-2</v>
      </c>
      <c r="W145" s="192">
        <v>-3664.7333282575528</v>
      </c>
      <c r="X145" s="192">
        <v>-457.19221384947923</v>
      </c>
      <c r="Y145" s="192">
        <v>-3664.7333282575528</v>
      </c>
      <c r="Z145" s="192">
        <v>-457.19221384947923</v>
      </c>
      <c r="AB145" s="186">
        <v>49.4</v>
      </c>
      <c r="AC145" s="187">
        <v>110</v>
      </c>
      <c r="AD145" s="187">
        <v>3.46</v>
      </c>
      <c r="AE145" s="187">
        <v>5500</v>
      </c>
      <c r="AF145" s="234">
        <v>0</v>
      </c>
      <c r="AG145" s="234">
        <v>1</v>
      </c>
      <c r="AH145" s="239">
        <v>1</v>
      </c>
      <c r="AI145" s="239">
        <v>0</v>
      </c>
      <c r="AJ145" s="240">
        <v>9959</v>
      </c>
    </row>
    <row r="146" spans="1:36" ht="20.25" customHeight="1">
      <c r="A146" s="83"/>
      <c r="B146" s="83"/>
      <c r="D146"/>
      <c r="E146" s="216">
        <v>49.4</v>
      </c>
      <c r="F146">
        <v>122</v>
      </c>
      <c r="G146">
        <v>3.46</v>
      </c>
      <c r="H146">
        <v>5000</v>
      </c>
      <c r="I146" s="222">
        <v>0</v>
      </c>
      <c r="J146" s="222">
        <v>0</v>
      </c>
      <c r="K146" s="219">
        <v>0</v>
      </c>
      <c r="L146" s="219">
        <v>1</v>
      </c>
      <c r="M146" s="219">
        <v>0</v>
      </c>
      <c r="N146" s="83">
        <v>8499</v>
      </c>
      <c r="O146" s="83"/>
      <c r="P146" s="83"/>
      <c r="Q146" s="83"/>
      <c r="R146" s="192" t="s">
        <v>81</v>
      </c>
      <c r="S146" s="192">
        <v>3.0825878680493495</v>
      </c>
      <c r="T146" s="192">
        <v>0.58426914545259134</v>
      </c>
      <c r="U146" s="192">
        <v>5.2759723699965191</v>
      </c>
      <c r="V146" s="192">
        <v>3.4962682744315522E-7</v>
      </c>
      <c r="W146" s="192">
        <v>1.9302898923565959</v>
      </c>
      <c r="X146" s="192">
        <v>4.2348858437421031</v>
      </c>
      <c r="Y146" s="192">
        <v>1.9302898923565959</v>
      </c>
      <c r="Z146" s="192">
        <v>4.2348858437421031</v>
      </c>
      <c r="AB146" s="188">
        <v>49.4</v>
      </c>
      <c r="AC146" s="189">
        <v>122</v>
      </c>
      <c r="AD146" s="189">
        <v>3.46</v>
      </c>
      <c r="AE146" s="189">
        <v>5000</v>
      </c>
      <c r="AF146" s="235">
        <v>0</v>
      </c>
      <c r="AG146" s="235">
        <v>0</v>
      </c>
      <c r="AH146" s="241">
        <v>1</v>
      </c>
      <c r="AI146" s="241">
        <v>0</v>
      </c>
      <c r="AJ146" s="242">
        <v>8499</v>
      </c>
    </row>
    <row r="147" spans="1:36" ht="20.25" customHeight="1">
      <c r="A147" s="83"/>
      <c r="B147" s="83"/>
      <c r="D147"/>
      <c r="E147" s="216">
        <v>50.2</v>
      </c>
      <c r="F147">
        <v>156</v>
      </c>
      <c r="G147">
        <v>3.86</v>
      </c>
      <c r="H147">
        <v>5000</v>
      </c>
      <c r="I147" s="222">
        <v>0</v>
      </c>
      <c r="J147" s="222">
        <v>1</v>
      </c>
      <c r="K147" s="219">
        <v>0</v>
      </c>
      <c r="L147" s="219">
        <v>1</v>
      </c>
      <c r="M147" s="219">
        <v>0</v>
      </c>
      <c r="N147" s="83">
        <v>12629</v>
      </c>
      <c r="O147" s="83"/>
      <c r="P147" s="83"/>
      <c r="Q147" s="83"/>
      <c r="R147" s="192" t="s">
        <v>9</v>
      </c>
      <c r="S147" s="192">
        <v>2209.6958022660438</v>
      </c>
      <c r="T147" s="192">
        <v>971.61026068047818</v>
      </c>
      <c r="U147" s="192">
        <v>2.2742614932024887</v>
      </c>
      <c r="V147" s="192">
        <v>2.4039020411193386E-2</v>
      </c>
      <c r="W147" s="192">
        <v>293.48210989801379</v>
      </c>
      <c r="X147" s="192">
        <v>4125.9094946340738</v>
      </c>
      <c r="Y147" s="192">
        <v>293.48210989801379</v>
      </c>
      <c r="Z147" s="192">
        <v>4125.9094946340738</v>
      </c>
      <c r="AB147" s="186">
        <v>50.2</v>
      </c>
      <c r="AC147" s="187">
        <v>156</v>
      </c>
      <c r="AD147" s="187">
        <v>3.86</v>
      </c>
      <c r="AE147" s="187">
        <v>5000</v>
      </c>
      <c r="AF147" s="234">
        <v>0</v>
      </c>
      <c r="AG147" s="234">
        <v>1</v>
      </c>
      <c r="AH147" s="239">
        <v>1</v>
      </c>
      <c r="AI147" s="239">
        <v>0</v>
      </c>
      <c r="AJ147" s="240">
        <v>12629</v>
      </c>
    </row>
    <row r="148" spans="1:36" ht="20.25" customHeight="1">
      <c r="A148" s="83"/>
      <c r="B148" s="83"/>
      <c r="D148"/>
      <c r="E148" s="216">
        <v>50.2</v>
      </c>
      <c r="F148">
        <v>156</v>
      </c>
      <c r="G148">
        <v>3.86</v>
      </c>
      <c r="H148">
        <v>5000</v>
      </c>
      <c r="I148" s="222">
        <v>0</v>
      </c>
      <c r="J148" s="222">
        <v>1</v>
      </c>
      <c r="K148" s="219">
        <v>0</v>
      </c>
      <c r="L148" s="219">
        <v>1</v>
      </c>
      <c r="M148" s="219">
        <v>0</v>
      </c>
      <c r="N148" s="83">
        <v>14869</v>
      </c>
      <c r="O148" s="83"/>
      <c r="P148" s="83"/>
      <c r="Q148" s="83"/>
      <c r="R148" s="192" t="s">
        <v>8</v>
      </c>
      <c r="S148" s="192">
        <v>1827.4746868466691</v>
      </c>
      <c r="T148" s="192">
        <v>641.30577878584859</v>
      </c>
      <c r="U148" s="192">
        <v>2.8496151871678648</v>
      </c>
      <c r="V148" s="192">
        <v>4.8474781380347049E-3</v>
      </c>
      <c r="W148" s="192">
        <v>562.68883182335264</v>
      </c>
      <c r="X148" s="192">
        <v>3092.2605418699854</v>
      </c>
      <c r="Y148" s="192">
        <v>562.68883182335264</v>
      </c>
      <c r="Z148" s="192">
        <v>3092.2605418699854</v>
      </c>
      <c r="AB148" s="188">
        <v>50.2</v>
      </c>
      <c r="AC148" s="189">
        <v>156</v>
      </c>
      <c r="AD148" s="189">
        <v>3.86</v>
      </c>
      <c r="AE148" s="189">
        <v>5000</v>
      </c>
      <c r="AF148" s="235">
        <v>0</v>
      </c>
      <c r="AG148" s="235">
        <v>1</v>
      </c>
      <c r="AH148" s="241">
        <v>1</v>
      </c>
      <c r="AI148" s="241">
        <v>0</v>
      </c>
      <c r="AJ148" s="242">
        <v>14869</v>
      </c>
    </row>
    <row r="149" spans="1:36" ht="20.25" customHeight="1">
      <c r="A149" s="83"/>
      <c r="B149" s="83"/>
      <c r="D149"/>
      <c r="E149" s="216">
        <v>50.2</v>
      </c>
      <c r="F149">
        <v>156</v>
      </c>
      <c r="G149">
        <v>3.86</v>
      </c>
      <c r="H149">
        <v>5000</v>
      </c>
      <c r="I149" s="222">
        <v>0</v>
      </c>
      <c r="J149" s="222">
        <v>1</v>
      </c>
      <c r="K149" s="219">
        <v>0</v>
      </c>
      <c r="L149" s="219">
        <v>1</v>
      </c>
      <c r="M149" s="219">
        <v>0</v>
      </c>
      <c r="N149" s="83">
        <v>14489</v>
      </c>
      <c r="O149" s="83"/>
      <c r="P149" s="83"/>
      <c r="Q149" s="83"/>
      <c r="R149" s="196" t="s">
        <v>7</v>
      </c>
      <c r="S149" s="192">
        <v>-1772.8660890563594</v>
      </c>
      <c r="T149" s="192">
        <v>1201.6302185262912</v>
      </c>
      <c r="U149" s="192">
        <v>-1.4753840755025669</v>
      </c>
      <c r="V149" s="196">
        <v>0.14172213120716362</v>
      </c>
      <c r="W149" s="192">
        <v>-4142.7260741604987</v>
      </c>
      <c r="X149" s="192">
        <v>596.99389604778014</v>
      </c>
      <c r="Y149" s="192">
        <v>-4142.7260741604987</v>
      </c>
      <c r="Z149" s="192">
        <v>596.99389604778014</v>
      </c>
      <c r="AB149" s="186">
        <v>50.2</v>
      </c>
      <c r="AC149" s="187">
        <v>156</v>
      </c>
      <c r="AD149" s="187">
        <v>3.86</v>
      </c>
      <c r="AE149" s="187">
        <v>5000</v>
      </c>
      <c r="AF149" s="234">
        <v>0</v>
      </c>
      <c r="AG149" s="234">
        <v>1</v>
      </c>
      <c r="AH149" s="239">
        <v>1</v>
      </c>
      <c r="AI149" s="239">
        <v>0</v>
      </c>
      <c r="AJ149" s="240">
        <v>14489</v>
      </c>
    </row>
    <row r="150" spans="1:36" ht="20.25" customHeight="1">
      <c r="A150" s="83"/>
      <c r="B150" s="83"/>
      <c r="D150"/>
      <c r="E150" s="216">
        <v>51.6</v>
      </c>
      <c r="F150">
        <v>122</v>
      </c>
      <c r="G150">
        <v>3.46</v>
      </c>
      <c r="H150">
        <v>5000</v>
      </c>
      <c r="I150" s="222">
        <v>0</v>
      </c>
      <c r="J150" s="222">
        <v>0</v>
      </c>
      <c r="K150" s="219">
        <v>0</v>
      </c>
      <c r="L150" s="219">
        <v>1</v>
      </c>
      <c r="M150" s="219">
        <v>0</v>
      </c>
      <c r="N150" s="83">
        <v>6989</v>
      </c>
      <c r="O150" s="83"/>
      <c r="P150" s="83"/>
      <c r="Q150" s="83"/>
      <c r="R150" s="192" t="s">
        <v>6</v>
      </c>
      <c r="S150" s="192">
        <v>-2661.8751724831773</v>
      </c>
      <c r="T150" s="192">
        <v>580.25453397110039</v>
      </c>
      <c r="U150" s="192">
        <v>-4.5874267526460244</v>
      </c>
      <c r="V150" s="192">
        <v>8.0170713834334623E-6</v>
      </c>
      <c r="W150" s="192">
        <v>-3806.2555151478655</v>
      </c>
      <c r="X150" s="192">
        <v>-1517.4948298184891</v>
      </c>
      <c r="Y150" s="192">
        <v>-3806.2555151478655</v>
      </c>
      <c r="Z150" s="192">
        <v>-1517.4948298184891</v>
      </c>
      <c r="AB150" s="188">
        <v>51.6</v>
      </c>
      <c r="AC150" s="189">
        <v>122</v>
      </c>
      <c r="AD150" s="189">
        <v>3.46</v>
      </c>
      <c r="AE150" s="189">
        <v>5000</v>
      </c>
      <c r="AF150" s="235">
        <v>0</v>
      </c>
      <c r="AG150" s="235">
        <v>0</v>
      </c>
      <c r="AH150" s="241">
        <v>1</v>
      </c>
      <c r="AI150" s="241">
        <v>0</v>
      </c>
      <c r="AJ150" s="242">
        <v>6989</v>
      </c>
    </row>
    <row r="151" spans="1:36" ht="20.25" customHeight="1" thickBot="1">
      <c r="A151" s="83"/>
      <c r="B151" s="83"/>
      <c r="D151"/>
      <c r="E151" s="216">
        <v>51.6</v>
      </c>
      <c r="F151">
        <v>122</v>
      </c>
      <c r="G151">
        <v>3.46</v>
      </c>
      <c r="H151">
        <v>5000</v>
      </c>
      <c r="I151" s="222">
        <v>0</v>
      </c>
      <c r="J151" s="222">
        <v>0</v>
      </c>
      <c r="K151" s="219">
        <v>0</v>
      </c>
      <c r="L151" s="219">
        <v>1</v>
      </c>
      <c r="M151" s="219">
        <v>0</v>
      </c>
      <c r="N151" s="83">
        <v>8189</v>
      </c>
      <c r="O151" s="83"/>
      <c r="P151" s="83"/>
      <c r="Q151" s="83"/>
      <c r="R151" s="194" t="s">
        <v>10</v>
      </c>
      <c r="S151" s="194">
        <v>7445.9838538657186</v>
      </c>
      <c r="T151" s="194">
        <v>1986.6318166105566</v>
      </c>
      <c r="U151" s="194">
        <v>3.7480441980283503</v>
      </c>
      <c r="V151" s="194">
        <v>2.3473555474884508E-4</v>
      </c>
      <c r="W151" s="194">
        <v>3527.9405367675863</v>
      </c>
      <c r="X151" s="194">
        <v>11364.027170963851</v>
      </c>
      <c r="Y151" s="194">
        <v>3527.9405367675863</v>
      </c>
      <c r="Z151" s="194">
        <v>11364.027170963851</v>
      </c>
      <c r="AB151" s="186">
        <v>51.6</v>
      </c>
      <c r="AC151" s="187">
        <v>122</v>
      </c>
      <c r="AD151" s="187">
        <v>3.46</v>
      </c>
      <c r="AE151" s="187">
        <v>5000</v>
      </c>
      <c r="AF151" s="234">
        <v>0</v>
      </c>
      <c r="AG151" s="234">
        <v>0</v>
      </c>
      <c r="AH151" s="239">
        <v>1</v>
      </c>
      <c r="AI151" s="239">
        <v>0</v>
      </c>
      <c r="AJ151" s="240">
        <v>8189</v>
      </c>
    </row>
    <row r="152" spans="1:36" ht="20.25" customHeight="1">
      <c r="A152" s="83"/>
      <c r="B152" s="83"/>
      <c r="D152"/>
      <c r="E152" s="216">
        <v>51.6</v>
      </c>
      <c r="F152">
        <v>110</v>
      </c>
      <c r="G152">
        <v>3.46</v>
      </c>
      <c r="H152">
        <v>5500</v>
      </c>
      <c r="I152" s="222">
        <v>0</v>
      </c>
      <c r="J152" s="222">
        <v>1</v>
      </c>
      <c r="K152" s="219">
        <v>0</v>
      </c>
      <c r="L152" s="219">
        <v>1</v>
      </c>
      <c r="M152" s="219">
        <v>0</v>
      </c>
      <c r="N152" s="83">
        <v>9279</v>
      </c>
      <c r="O152" s="83"/>
      <c r="P152" s="83"/>
      <c r="Q152" s="83"/>
      <c r="R152" s="217"/>
      <c r="S152" s="217"/>
      <c r="T152" s="217"/>
      <c r="U152" s="217"/>
      <c r="V152" s="217"/>
      <c r="W152" s="217"/>
      <c r="X152" s="217"/>
      <c r="Y152" s="217"/>
      <c r="Z152" s="217"/>
      <c r="AB152" s="188">
        <v>51.6</v>
      </c>
      <c r="AC152" s="189">
        <v>110</v>
      </c>
      <c r="AD152" s="189">
        <v>3.46</v>
      </c>
      <c r="AE152" s="189">
        <v>5500</v>
      </c>
      <c r="AF152" s="235">
        <v>0</v>
      </c>
      <c r="AG152" s="235">
        <v>1</v>
      </c>
      <c r="AH152" s="241">
        <v>1</v>
      </c>
      <c r="AI152" s="241">
        <v>0</v>
      </c>
      <c r="AJ152" s="242">
        <v>9279</v>
      </c>
    </row>
    <row r="153" spans="1:36" ht="20.25" customHeight="1">
      <c r="A153" s="83"/>
      <c r="B153" s="83"/>
      <c r="D153"/>
      <c r="E153" s="216">
        <v>51.6</v>
      </c>
      <c r="F153">
        <v>110</v>
      </c>
      <c r="G153">
        <v>3.46</v>
      </c>
      <c r="H153">
        <v>5500</v>
      </c>
      <c r="I153" s="222">
        <v>0</v>
      </c>
      <c r="J153" s="222">
        <v>0</v>
      </c>
      <c r="K153" s="219">
        <v>0</v>
      </c>
      <c r="L153" s="219">
        <v>1</v>
      </c>
      <c r="M153" s="219">
        <v>0</v>
      </c>
      <c r="N153" s="83">
        <v>9279</v>
      </c>
      <c r="O153" s="83"/>
      <c r="P153" s="83"/>
      <c r="Q153" s="83"/>
      <c r="R153" s="217"/>
      <c r="S153" s="217"/>
      <c r="T153" s="217"/>
      <c r="U153" s="217"/>
      <c r="V153" s="217"/>
      <c r="W153" s="217"/>
      <c r="X153" s="217"/>
      <c r="Y153" s="217"/>
      <c r="Z153" s="217"/>
      <c r="AB153" s="186">
        <v>51.6</v>
      </c>
      <c r="AC153" s="187">
        <v>110</v>
      </c>
      <c r="AD153" s="187">
        <v>3.46</v>
      </c>
      <c r="AE153" s="187">
        <v>5500</v>
      </c>
      <c r="AF153" s="234">
        <v>0</v>
      </c>
      <c r="AG153" s="234">
        <v>0</v>
      </c>
      <c r="AH153" s="239">
        <v>1</v>
      </c>
      <c r="AI153" s="239">
        <v>0</v>
      </c>
      <c r="AJ153" s="240">
        <v>9279</v>
      </c>
    </row>
    <row r="154" spans="1:36" ht="20.25" customHeight="1">
      <c r="A154" s="83"/>
      <c r="B154" s="83"/>
      <c r="D154"/>
      <c r="E154" s="216">
        <v>54.5</v>
      </c>
      <c r="F154">
        <v>97</v>
      </c>
      <c r="G154">
        <v>3.29</v>
      </c>
      <c r="H154">
        <v>5200</v>
      </c>
      <c r="I154" s="222">
        <v>0</v>
      </c>
      <c r="J154" s="222">
        <v>0</v>
      </c>
      <c r="K154" s="219">
        <v>0</v>
      </c>
      <c r="L154" s="219">
        <v>1</v>
      </c>
      <c r="M154" s="219">
        <v>0</v>
      </c>
      <c r="N154" s="83">
        <v>5499</v>
      </c>
      <c r="O154" s="83"/>
      <c r="P154" s="83"/>
      <c r="Q154" s="83"/>
      <c r="R154" s="217"/>
      <c r="S154" s="217"/>
      <c r="T154" s="217"/>
      <c r="U154" s="217"/>
      <c r="V154" s="217"/>
      <c r="W154" s="217"/>
      <c r="X154" s="217"/>
      <c r="Y154" s="217"/>
      <c r="Z154" s="217"/>
      <c r="AB154" s="188">
        <v>54.5</v>
      </c>
      <c r="AC154" s="189">
        <v>97</v>
      </c>
      <c r="AD154" s="189">
        <v>3.29</v>
      </c>
      <c r="AE154" s="189">
        <v>5200</v>
      </c>
      <c r="AF154" s="235">
        <v>0</v>
      </c>
      <c r="AG154" s="235">
        <v>0</v>
      </c>
      <c r="AH154" s="241">
        <v>1</v>
      </c>
      <c r="AI154" s="241">
        <v>0</v>
      </c>
      <c r="AJ154" s="242">
        <v>5499</v>
      </c>
    </row>
    <row r="155" spans="1:36" ht="20.25" customHeight="1">
      <c r="A155" s="83"/>
      <c r="B155" s="83"/>
      <c r="D155"/>
      <c r="E155" s="216">
        <v>54.5</v>
      </c>
      <c r="F155">
        <v>103</v>
      </c>
      <c r="G155">
        <v>3.47</v>
      </c>
      <c r="H155">
        <v>4800</v>
      </c>
      <c r="I155" s="222">
        <v>1</v>
      </c>
      <c r="J155" s="222">
        <v>0</v>
      </c>
      <c r="K155" s="219">
        <v>0</v>
      </c>
      <c r="L155" s="219">
        <v>1</v>
      </c>
      <c r="M155" s="219">
        <v>0</v>
      </c>
      <c r="N155" s="83">
        <v>7099</v>
      </c>
      <c r="O155" s="83"/>
      <c r="P155" s="83"/>
      <c r="Q155" s="83"/>
      <c r="R155" s="83"/>
      <c r="S155" s="83"/>
      <c r="T155" s="83"/>
      <c r="AB155" s="186">
        <v>54.5</v>
      </c>
      <c r="AC155" s="187">
        <v>103</v>
      </c>
      <c r="AD155" s="187">
        <v>3.47</v>
      </c>
      <c r="AE155" s="187">
        <v>4800</v>
      </c>
      <c r="AF155" s="234">
        <v>1</v>
      </c>
      <c r="AG155" s="234">
        <v>0</v>
      </c>
      <c r="AH155" s="239">
        <v>1</v>
      </c>
      <c r="AI155" s="239">
        <v>0</v>
      </c>
      <c r="AJ155" s="240">
        <v>7099</v>
      </c>
    </row>
    <row r="156" spans="1:36" ht="20.25" customHeight="1">
      <c r="A156" s="83"/>
      <c r="B156" s="83"/>
      <c r="D156"/>
      <c r="E156" s="216">
        <v>54.5</v>
      </c>
      <c r="F156">
        <v>97</v>
      </c>
      <c r="G156">
        <v>3.29</v>
      </c>
      <c r="H156">
        <v>5200</v>
      </c>
      <c r="I156" s="222">
        <v>0</v>
      </c>
      <c r="J156" s="222">
        <v>0</v>
      </c>
      <c r="K156" s="219">
        <v>0</v>
      </c>
      <c r="L156" s="219">
        <v>1</v>
      </c>
      <c r="M156" s="219">
        <v>0</v>
      </c>
      <c r="N156" s="83">
        <v>6649</v>
      </c>
      <c r="O156" s="83"/>
      <c r="P156" s="83"/>
      <c r="Q156" s="83"/>
      <c r="R156" s="83"/>
      <c r="S156" s="83"/>
      <c r="T156" s="83"/>
      <c r="AB156" s="188">
        <v>54.5</v>
      </c>
      <c r="AC156" s="189">
        <v>97</v>
      </c>
      <c r="AD156" s="189">
        <v>3.29</v>
      </c>
      <c r="AE156" s="189">
        <v>5200</v>
      </c>
      <c r="AF156" s="235">
        <v>0</v>
      </c>
      <c r="AG156" s="235">
        <v>0</v>
      </c>
      <c r="AH156" s="241">
        <v>1</v>
      </c>
      <c r="AI156" s="241">
        <v>0</v>
      </c>
      <c r="AJ156" s="242">
        <v>6649</v>
      </c>
    </row>
    <row r="157" spans="1:36" ht="20.25" customHeight="1">
      <c r="A157" s="83"/>
      <c r="B157" s="83"/>
      <c r="D157"/>
      <c r="E157" s="216">
        <v>54.5</v>
      </c>
      <c r="F157">
        <v>97</v>
      </c>
      <c r="G157">
        <v>3.29</v>
      </c>
      <c r="H157">
        <v>5200</v>
      </c>
      <c r="I157" s="222">
        <v>0</v>
      </c>
      <c r="J157" s="222">
        <v>0</v>
      </c>
      <c r="K157" s="219">
        <v>0</v>
      </c>
      <c r="L157" s="219">
        <v>1</v>
      </c>
      <c r="M157" s="219">
        <v>0</v>
      </c>
      <c r="N157" s="83">
        <v>6849</v>
      </c>
      <c r="O157" s="83"/>
      <c r="P157" s="83"/>
      <c r="Q157" s="83"/>
      <c r="R157" s="83"/>
      <c r="S157" s="83"/>
      <c r="T157" s="83"/>
      <c r="AB157" s="186">
        <v>54.5</v>
      </c>
      <c r="AC157" s="187">
        <v>97</v>
      </c>
      <c r="AD157" s="187">
        <v>3.29</v>
      </c>
      <c r="AE157" s="187">
        <v>5200</v>
      </c>
      <c r="AF157" s="234">
        <v>0</v>
      </c>
      <c r="AG157" s="234">
        <v>0</v>
      </c>
      <c r="AH157" s="239">
        <v>1</v>
      </c>
      <c r="AI157" s="239">
        <v>0</v>
      </c>
      <c r="AJ157" s="240">
        <v>6849</v>
      </c>
    </row>
    <row r="158" spans="1:36" ht="20.25" customHeight="1">
      <c r="A158" s="83"/>
      <c r="B158" s="83"/>
      <c r="D158"/>
      <c r="E158" s="216">
        <v>53.5</v>
      </c>
      <c r="F158">
        <v>97</v>
      </c>
      <c r="G158">
        <v>3.29</v>
      </c>
      <c r="H158">
        <v>5200</v>
      </c>
      <c r="I158" s="222">
        <v>0</v>
      </c>
      <c r="J158" s="222">
        <v>0</v>
      </c>
      <c r="K158" s="219">
        <v>0</v>
      </c>
      <c r="L158" s="219">
        <v>1</v>
      </c>
      <c r="M158" s="219">
        <v>0</v>
      </c>
      <c r="N158" s="83">
        <v>7349</v>
      </c>
      <c r="O158" s="83"/>
      <c r="P158" s="83"/>
      <c r="Q158" s="83"/>
      <c r="R158" s="83"/>
      <c r="S158" s="83"/>
      <c r="T158" s="83"/>
      <c r="AB158" s="188">
        <v>53.5</v>
      </c>
      <c r="AC158" s="189">
        <v>97</v>
      </c>
      <c r="AD158" s="189">
        <v>3.29</v>
      </c>
      <c r="AE158" s="189">
        <v>5200</v>
      </c>
      <c r="AF158" s="235">
        <v>0</v>
      </c>
      <c r="AG158" s="235">
        <v>0</v>
      </c>
      <c r="AH158" s="241">
        <v>1</v>
      </c>
      <c r="AI158" s="241">
        <v>0</v>
      </c>
      <c r="AJ158" s="242">
        <v>7349</v>
      </c>
    </row>
    <row r="159" spans="1:36" ht="20.25" customHeight="1">
      <c r="A159" s="83"/>
      <c r="B159" s="83"/>
      <c r="D159"/>
      <c r="E159" s="216">
        <v>54.5</v>
      </c>
      <c r="F159">
        <v>97</v>
      </c>
      <c r="G159">
        <v>3.29</v>
      </c>
      <c r="H159">
        <v>5200</v>
      </c>
      <c r="I159" s="222">
        <v>0</v>
      </c>
      <c r="J159" s="222">
        <v>0</v>
      </c>
      <c r="K159" s="219">
        <v>0</v>
      </c>
      <c r="L159" s="219">
        <v>1</v>
      </c>
      <c r="M159" s="219">
        <v>0</v>
      </c>
      <c r="N159" s="83">
        <v>7299</v>
      </c>
      <c r="O159" s="83"/>
      <c r="P159" s="83"/>
      <c r="Q159" s="83"/>
      <c r="R159" s="83"/>
      <c r="S159" s="83"/>
      <c r="T159" s="83"/>
      <c r="AB159" s="186">
        <v>54.5</v>
      </c>
      <c r="AC159" s="187">
        <v>97</v>
      </c>
      <c r="AD159" s="187">
        <v>3.29</v>
      </c>
      <c r="AE159" s="187">
        <v>5200</v>
      </c>
      <c r="AF159" s="234">
        <v>0</v>
      </c>
      <c r="AG159" s="234">
        <v>0</v>
      </c>
      <c r="AH159" s="239">
        <v>1</v>
      </c>
      <c r="AI159" s="239">
        <v>0</v>
      </c>
      <c r="AJ159" s="240">
        <v>7299</v>
      </c>
    </row>
    <row r="160" spans="1:36" ht="20.25" customHeight="1">
      <c r="A160" s="83"/>
      <c r="B160" s="83"/>
      <c r="D160"/>
      <c r="E160" s="216">
        <v>53.3</v>
      </c>
      <c r="F160">
        <v>97</v>
      </c>
      <c r="G160">
        <v>3.29</v>
      </c>
      <c r="H160">
        <v>5200</v>
      </c>
      <c r="I160" s="222">
        <v>0</v>
      </c>
      <c r="J160" s="222">
        <v>0</v>
      </c>
      <c r="K160" s="219">
        <v>0</v>
      </c>
      <c r="L160" s="219">
        <v>1</v>
      </c>
      <c r="M160" s="219">
        <v>0</v>
      </c>
      <c r="N160" s="83">
        <v>7799</v>
      </c>
      <c r="O160" s="83"/>
      <c r="P160" s="83"/>
      <c r="Q160" s="83"/>
      <c r="R160" s="83"/>
      <c r="S160" s="83"/>
      <c r="T160" s="83"/>
      <c r="AB160" s="188">
        <v>53.3</v>
      </c>
      <c r="AC160" s="189">
        <v>97</v>
      </c>
      <c r="AD160" s="189">
        <v>3.29</v>
      </c>
      <c r="AE160" s="189">
        <v>5200</v>
      </c>
      <c r="AF160" s="235">
        <v>0</v>
      </c>
      <c r="AG160" s="235">
        <v>0</v>
      </c>
      <c r="AH160" s="241">
        <v>1</v>
      </c>
      <c r="AI160" s="241">
        <v>0</v>
      </c>
      <c r="AJ160" s="242">
        <v>7799</v>
      </c>
    </row>
    <row r="161" spans="1:36" ht="20.25" customHeight="1">
      <c r="A161" s="83"/>
      <c r="B161" s="83"/>
      <c r="D161"/>
      <c r="E161" s="216">
        <v>54.5</v>
      </c>
      <c r="F161">
        <v>97</v>
      </c>
      <c r="G161">
        <v>3.29</v>
      </c>
      <c r="H161">
        <v>5200</v>
      </c>
      <c r="I161" s="222">
        <v>0</v>
      </c>
      <c r="J161" s="222">
        <v>0</v>
      </c>
      <c r="K161" s="219">
        <v>0</v>
      </c>
      <c r="L161" s="219">
        <v>1</v>
      </c>
      <c r="M161" s="219">
        <v>0</v>
      </c>
      <c r="N161" s="83">
        <v>7499</v>
      </c>
      <c r="O161" s="83"/>
      <c r="P161" s="83"/>
      <c r="Q161" s="83"/>
      <c r="R161" s="83"/>
      <c r="S161" s="83"/>
      <c r="T161" s="83"/>
      <c r="AB161" s="186">
        <v>54.5</v>
      </c>
      <c r="AC161" s="187">
        <v>97</v>
      </c>
      <c r="AD161" s="187">
        <v>3.29</v>
      </c>
      <c r="AE161" s="187">
        <v>5200</v>
      </c>
      <c r="AF161" s="234">
        <v>0</v>
      </c>
      <c r="AG161" s="234">
        <v>0</v>
      </c>
      <c r="AH161" s="239">
        <v>1</v>
      </c>
      <c r="AI161" s="239">
        <v>0</v>
      </c>
      <c r="AJ161" s="240">
        <v>7499</v>
      </c>
    </row>
    <row r="162" spans="1:36" ht="20.25" customHeight="1">
      <c r="A162" s="83"/>
      <c r="B162" s="83"/>
      <c r="D162"/>
      <c r="E162" s="216">
        <v>53.5</v>
      </c>
      <c r="F162">
        <v>97</v>
      </c>
      <c r="G162">
        <v>3.29</v>
      </c>
      <c r="H162">
        <v>5200</v>
      </c>
      <c r="I162" s="222">
        <v>0</v>
      </c>
      <c r="J162" s="222">
        <v>0</v>
      </c>
      <c r="K162" s="219">
        <v>0</v>
      </c>
      <c r="L162" s="219">
        <v>1</v>
      </c>
      <c r="M162" s="219">
        <v>0</v>
      </c>
      <c r="N162" s="83">
        <v>7999</v>
      </c>
      <c r="O162" s="83"/>
      <c r="P162" s="83"/>
      <c r="Q162" s="83"/>
      <c r="R162" s="83"/>
      <c r="S162" s="83"/>
      <c r="T162" s="83"/>
      <c r="AB162" s="188">
        <v>53.5</v>
      </c>
      <c r="AC162" s="189">
        <v>97</v>
      </c>
      <c r="AD162" s="189">
        <v>3.29</v>
      </c>
      <c r="AE162" s="189">
        <v>5200</v>
      </c>
      <c r="AF162" s="235">
        <v>0</v>
      </c>
      <c r="AG162" s="235">
        <v>0</v>
      </c>
      <c r="AH162" s="241">
        <v>1</v>
      </c>
      <c r="AI162" s="241">
        <v>0</v>
      </c>
      <c r="AJ162" s="242">
        <v>7999</v>
      </c>
    </row>
    <row r="163" spans="1:36" ht="20.25" customHeight="1">
      <c r="A163" s="83"/>
      <c r="B163" s="83"/>
      <c r="D163"/>
      <c r="E163" s="216">
        <v>53.3</v>
      </c>
      <c r="F163">
        <v>97</v>
      </c>
      <c r="G163">
        <v>3.29</v>
      </c>
      <c r="H163">
        <v>5200</v>
      </c>
      <c r="I163" s="222">
        <v>0</v>
      </c>
      <c r="J163" s="222">
        <v>0</v>
      </c>
      <c r="K163" s="219">
        <v>0</v>
      </c>
      <c r="L163" s="219">
        <v>1</v>
      </c>
      <c r="M163" s="219">
        <v>0</v>
      </c>
      <c r="N163" s="83">
        <v>8249</v>
      </c>
      <c r="O163" s="83"/>
      <c r="P163" s="83"/>
      <c r="Q163" s="83"/>
      <c r="R163" s="83"/>
      <c r="S163" s="83"/>
      <c r="T163" s="83"/>
      <c r="AB163" s="186">
        <v>53.3</v>
      </c>
      <c r="AC163" s="187">
        <v>97</v>
      </c>
      <c r="AD163" s="187">
        <v>3.29</v>
      </c>
      <c r="AE163" s="187">
        <v>5200</v>
      </c>
      <c r="AF163" s="234">
        <v>0</v>
      </c>
      <c r="AG163" s="234">
        <v>0</v>
      </c>
      <c r="AH163" s="239">
        <v>1</v>
      </c>
      <c r="AI163" s="239">
        <v>0</v>
      </c>
      <c r="AJ163" s="240">
        <v>8249</v>
      </c>
    </row>
    <row r="164" spans="1:36" ht="20.25" customHeight="1">
      <c r="A164" s="83"/>
      <c r="B164" s="83"/>
      <c r="D164"/>
      <c r="E164" s="216">
        <v>54.7</v>
      </c>
      <c r="F164">
        <v>120</v>
      </c>
      <c r="G164">
        <v>3.47</v>
      </c>
      <c r="H164">
        <v>5200</v>
      </c>
      <c r="I164" s="222">
        <v>0</v>
      </c>
      <c r="J164" s="222">
        <v>0</v>
      </c>
      <c r="K164" s="219">
        <v>0</v>
      </c>
      <c r="L164" s="219">
        <v>1</v>
      </c>
      <c r="M164" s="219">
        <v>0</v>
      </c>
      <c r="N164" s="83">
        <v>8949</v>
      </c>
      <c r="O164" s="83"/>
      <c r="P164" s="83"/>
      <c r="Q164" s="83"/>
      <c r="R164" s="83"/>
      <c r="S164" s="83"/>
      <c r="T164" s="83"/>
      <c r="AB164" s="188">
        <v>54.7</v>
      </c>
      <c r="AC164" s="189">
        <v>120</v>
      </c>
      <c r="AD164" s="189">
        <v>3.47</v>
      </c>
      <c r="AE164" s="189">
        <v>5200</v>
      </c>
      <c r="AF164" s="235">
        <v>0</v>
      </c>
      <c r="AG164" s="235">
        <v>0</v>
      </c>
      <c r="AH164" s="241">
        <v>1</v>
      </c>
      <c r="AI164" s="241">
        <v>0</v>
      </c>
      <c r="AJ164" s="242">
        <v>8949</v>
      </c>
    </row>
    <row r="165" spans="1:36" ht="20.25" customHeight="1">
      <c r="A165" s="83"/>
      <c r="B165" s="83"/>
      <c r="D165"/>
      <c r="E165" s="216">
        <v>54.7</v>
      </c>
      <c r="F165">
        <v>120</v>
      </c>
      <c r="G165">
        <v>3.47</v>
      </c>
      <c r="H165">
        <v>5200</v>
      </c>
      <c r="I165" s="222">
        <v>0</v>
      </c>
      <c r="J165" s="222">
        <v>0</v>
      </c>
      <c r="K165" s="219">
        <v>0</v>
      </c>
      <c r="L165" s="219">
        <v>1</v>
      </c>
      <c r="M165" s="219">
        <v>0</v>
      </c>
      <c r="N165" s="83">
        <v>9549</v>
      </c>
      <c r="O165" s="83"/>
      <c r="P165" s="83"/>
      <c r="Q165" s="83"/>
      <c r="R165" s="83"/>
      <c r="S165" s="83"/>
      <c r="T165" s="83"/>
      <c r="AB165" s="186">
        <v>54.7</v>
      </c>
      <c r="AC165" s="187">
        <v>120</v>
      </c>
      <c r="AD165" s="187">
        <v>3.47</v>
      </c>
      <c r="AE165" s="187">
        <v>5200</v>
      </c>
      <c r="AF165" s="234">
        <v>0</v>
      </c>
      <c r="AG165" s="234">
        <v>0</v>
      </c>
      <c r="AH165" s="239">
        <v>1</v>
      </c>
      <c r="AI165" s="239">
        <v>0</v>
      </c>
      <c r="AJ165" s="240">
        <v>9549</v>
      </c>
    </row>
    <row r="166" spans="1:36" ht="20.25" customHeight="1">
      <c r="A166" s="83"/>
      <c r="B166" s="83"/>
      <c r="D166"/>
      <c r="E166" s="216">
        <v>55.1</v>
      </c>
      <c r="F166">
        <v>181</v>
      </c>
      <c r="G166">
        <v>3.27</v>
      </c>
      <c r="H166">
        <v>5200</v>
      </c>
      <c r="I166" s="222">
        <v>0</v>
      </c>
      <c r="J166" s="222">
        <v>0</v>
      </c>
      <c r="K166" s="219">
        <v>0</v>
      </c>
      <c r="L166" s="219">
        <v>1</v>
      </c>
      <c r="M166" s="219">
        <v>0</v>
      </c>
      <c r="N166" s="83">
        <v>13499</v>
      </c>
      <c r="O166" s="83"/>
      <c r="P166" s="83"/>
      <c r="Q166" s="83"/>
      <c r="R166" s="83"/>
      <c r="S166" s="83"/>
      <c r="T166" s="83"/>
      <c r="AB166" s="188">
        <v>55.1</v>
      </c>
      <c r="AC166" s="189">
        <v>181</v>
      </c>
      <c r="AD166" s="189">
        <v>3.27</v>
      </c>
      <c r="AE166" s="189">
        <v>5200</v>
      </c>
      <c r="AF166" s="235">
        <v>0</v>
      </c>
      <c r="AG166" s="235">
        <v>0</v>
      </c>
      <c r="AH166" s="241">
        <v>1</v>
      </c>
      <c r="AI166" s="241">
        <v>0</v>
      </c>
      <c r="AJ166" s="242">
        <v>13499</v>
      </c>
    </row>
    <row r="167" spans="1:36" ht="20.25" customHeight="1">
      <c r="A167" s="83"/>
      <c r="B167" s="83"/>
      <c r="D167"/>
      <c r="E167" s="216">
        <v>56.1</v>
      </c>
      <c r="F167">
        <v>181</v>
      </c>
      <c r="G167">
        <v>3.27</v>
      </c>
      <c r="H167">
        <v>5200</v>
      </c>
      <c r="I167" s="222">
        <v>0</v>
      </c>
      <c r="J167" s="222">
        <v>0</v>
      </c>
      <c r="K167" s="219">
        <v>0</v>
      </c>
      <c r="L167" s="219">
        <v>1</v>
      </c>
      <c r="M167" s="219">
        <v>0</v>
      </c>
      <c r="N167" s="83">
        <v>14399</v>
      </c>
      <c r="O167" s="83"/>
      <c r="P167" s="83"/>
      <c r="Q167" s="83"/>
      <c r="R167" s="83"/>
      <c r="S167" s="83"/>
      <c r="T167" s="83"/>
      <c r="AB167" s="186">
        <v>56.1</v>
      </c>
      <c r="AC167" s="187">
        <v>181</v>
      </c>
      <c r="AD167" s="187">
        <v>3.27</v>
      </c>
      <c r="AE167" s="187">
        <v>5200</v>
      </c>
      <c r="AF167" s="234">
        <v>0</v>
      </c>
      <c r="AG167" s="234">
        <v>0</v>
      </c>
      <c r="AH167" s="239">
        <v>1</v>
      </c>
      <c r="AI167" s="239">
        <v>0</v>
      </c>
      <c r="AJ167" s="240">
        <v>14399</v>
      </c>
    </row>
    <row r="168" spans="1:36" ht="20.25" customHeight="1">
      <c r="A168" s="83"/>
      <c r="B168" s="83"/>
      <c r="D168"/>
      <c r="E168" s="216">
        <v>55.1</v>
      </c>
      <c r="F168">
        <v>181</v>
      </c>
      <c r="G168">
        <v>3.27</v>
      </c>
      <c r="H168">
        <v>5200</v>
      </c>
      <c r="I168" s="222">
        <v>0</v>
      </c>
      <c r="J168" s="222">
        <v>0</v>
      </c>
      <c r="K168" s="219">
        <v>0</v>
      </c>
      <c r="L168" s="219">
        <v>1</v>
      </c>
      <c r="M168" s="219">
        <v>0</v>
      </c>
      <c r="N168" s="83">
        <v>13499</v>
      </c>
      <c r="O168" s="83"/>
      <c r="P168" s="83"/>
      <c r="Q168" s="83"/>
      <c r="R168" s="83"/>
      <c r="S168" s="83"/>
      <c r="T168" s="83"/>
      <c r="AB168" s="188">
        <v>55.1</v>
      </c>
      <c r="AC168" s="189">
        <v>181</v>
      </c>
      <c r="AD168" s="189">
        <v>3.27</v>
      </c>
      <c r="AE168" s="189">
        <v>5200</v>
      </c>
      <c r="AF168" s="235">
        <v>0</v>
      </c>
      <c r="AG168" s="235">
        <v>0</v>
      </c>
      <c r="AH168" s="241">
        <v>1</v>
      </c>
      <c r="AI168" s="241">
        <v>0</v>
      </c>
      <c r="AJ168" s="242">
        <v>13499</v>
      </c>
    </row>
    <row r="169" spans="1:36" ht="20.25" customHeight="1">
      <c r="A169" s="83"/>
      <c r="B169" s="83"/>
      <c r="D169"/>
      <c r="E169" s="216">
        <v>49.7</v>
      </c>
      <c r="F169">
        <v>181</v>
      </c>
      <c r="G169">
        <v>3.27</v>
      </c>
      <c r="H169">
        <v>5200</v>
      </c>
      <c r="I169" s="222">
        <v>0</v>
      </c>
      <c r="J169" s="222">
        <v>0</v>
      </c>
      <c r="K169" s="219">
        <v>0</v>
      </c>
      <c r="L169" s="219">
        <v>0</v>
      </c>
      <c r="M169" s="219">
        <v>0</v>
      </c>
      <c r="N169" s="83">
        <v>17199</v>
      </c>
      <c r="O169" s="83"/>
      <c r="P169" s="83"/>
      <c r="Q169" s="83"/>
      <c r="R169" s="83"/>
      <c r="S169" s="83"/>
      <c r="T169" s="83"/>
      <c r="AB169" s="186">
        <v>49.7</v>
      </c>
      <c r="AC169" s="187">
        <v>181</v>
      </c>
      <c r="AD169" s="187">
        <v>3.27</v>
      </c>
      <c r="AE169" s="187">
        <v>5200</v>
      </c>
      <c r="AF169" s="234">
        <v>0</v>
      </c>
      <c r="AG169" s="234">
        <v>0</v>
      </c>
      <c r="AH169" s="239">
        <v>0</v>
      </c>
      <c r="AI169" s="239">
        <v>0</v>
      </c>
      <c r="AJ169" s="240">
        <v>17199</v>
      </c>
    </row>
    <row r="170" spans="1:36" ht="20.25" customHeight="1">
      <c r="A170" s="83"/>
      <c r="B170" s="83"/>
      <c r="D170"/>
      <c r="E170" s="216">
        <v>49.7</v>
      </c>
      <c r="F170">
        <v>181</v>
      </c>
      <c r="G170">
        <v>3.27</v>
      </c>
      <c r="H170">
        <v>5200</v>
      </c>
      <c r="I170" s="222">
        <v>0</v>
      </c>
      <c r="J170" s="222">
        <v>1</v>
      </c>
      <c r="K170" s="219">
        <v>0</v>
      </c>
      <c r="L170" s="219">
        <v>0</v>
      </c>
      <c r="M170" s="219">
        <v>0</v>
      </c>
      <c r="N170" s="83">
        <v>19699</v>
      </c>
      <c r="O170" s="83"/>
      <c r="P170" s="83"/>
      <c r="Q170" s="83"/>
      <c r="R170" s="83"/>
      <c r="S170" s="83"/>
      <c r="T170" s="83"/>
      <c r="AB170" s="188">
        <v>49.7</v>
      </c>
      <c r="AC170" s="189">
        <v>181</v>
      </c>
      <c r="AD170" s="189">
        <v>3.27</v>
      </c>
      <c r="AE170" s="189">
        <v>5200</v>
      </c>
      <c r="AF170" s="235">
        <v>0</v>
      </c>
      <c r="AG170" s="235">
        <v>1</v>
      </c>
      <c r="AH170" s="241">
        <v>0</v>
      </c>
      <c r="AI170" s="241">
        <v>0</v>
      </c>
      <c r="AJ170" s="242">
        <v>19699</v>
      </c>
    </row>
    <row r="171" spans="1:36" ht="20.25" customHeight="1">
      <c r="A171" s="83"/>
      <c r="B171" s="83"/>
      <c r="D171"/>
      <c r="E171" s="216">
        <v>49.7</v>
      </c>
      <c r="F171">
        <v>181</v>
      </c>
      <c r="G171">
        <v>3.27</v>
      </c>
      <c r="H171">
        <v>5200</v>
      </c>
      <c r="I171" s="222">
        <v>0</v>
      </c>
      <c r="J171" s="222">
        <v>0</v>
      </c>
      <c r="K171" s="219">
        <v>0</v>
      </c>
      <c r="L171" s="219">
        <v>0</v>
      </c>
      <c r="M171" s="219">
        <v>0</v>
      </c>
      <c r="N171" s="83">
        <v>18399</v>
      </c>
      <c r="O171" s="83"/>
      <c r="P171" s="83"/>
      <c r="Q171" s="83"/>
      <c r="R171" s="83"/>
      <c r="S171" s="83"/>
      <c r="T171" s="83"/>
      <c r="AB171" s="186">
        <v>49.7</v>
      </c>
      <c r="AC171" s="187">
        <v>181</v>
      </c>
      <c r="AD171" s="187">
        <v>3.27</v>
      </c>
      <c r="AE171" s="187">
        <v>5200</v>
      </c>
      <c r="AF171" s="234">
        <v>0</v>
      </c>
      <c r="AG171" s="234">
        <v>0</v>
      </c>
      <c r="AH171" s="239">
        <v>0</v>
      </c>
      <c r="AI171" s="239">
        <v>0</v>
      </c>
      <c r="AJ171" s="240">
        <v>18399</v>
      </c>
    </row>
    <row r="172" spans="1:36" ht="20.25" customHeight="1">
      <c r="A172" s="83"/>
      <c r="B172" s="83"/>
      <c r="D172"/>
      <c r="E172" s="216">
        <v>56.7</v>
      </c>
      <c r="F172">
        <v>120</v>
      </c>
      <c r="G172">
        <v>3.19</v>
      </c>
      <c r="H172">
        <v>5000</v>
      </c>
      <c r="I172" s="222">
        <v>0</v>
      </c>
      <c r="J172" s="222">
        <v>0</v>
      </c>
      <c r="K172" s="219">
        <v>0</v>
      </c>
      <c r="L172" s="219">
        <v>0</v>
      </c>
      <c r="M172" s="219">
        <v>0</v>
      </c>
      <c r="N172" s="83">
        <v>11900</v>
      </c>
      <c r="O172" s="83"/>
      <c r="P172" s="83"/>
      <c r="Q172" s="83"/>
      <c r="R172" s="83"/>
      <c r="S172" s="83"/>
      <c r="T172" s="83"/>
      <c r="AB172" s="188">
        <v>56.7</v>
      </c>
      <c r="AC172" s="189">
        <v>120</v>
      </c>
      <c r="AD172" s="189">
        <v>3.19</v>
      </c>
      <c r="AE172" s="189">
        <v>5000</v>
      </c>
      <c r="AF172" s="235">
        <v>0</v>
      </c>
      <c r="AG172" s="235">
        <v>0</v>
      </c>
      <c r="AH172" s="241">
        <v>0</v>
      </c>
      <c r="AI172" s="241">
        <v>0</v>
      </c>
      <c r="AJ172" s="242">
        <v>11900</v>
      </c>
    </row>
    <row r="173" spans="1:36" ht="20.25" customHeight="1">
      <c r="A173" s="83"/>
      <c r="B173" s="83"/>
      <c r="D173"/>
      <c r="E173" s="216">
        <v>56.7</v>
      </c>
      <c r="F173">
        <v>152</v>
      </c>
      <c r="G173">
        <v>3.52</v>
      </c>
      <c r="H173">
        <v>4150</v>
      </c>
      <c r="I173" s="222">
        <v>1</v>
      </c>
      <c r="J173" s="222">
        <v>1</v>
      </c>
      <c r="K173" s="219">
        <v>0</v>
      </c>
      <c r="L173" s="219">
        <v>0</v>
      </c>
      <c r="M173" s="219">
        <v>0</v>
      </c>
      <c r="N173" s="83">
        <v>13200</v>
      </c>
      <c r="O173" s="83"/>
      <c r="P173" s="83"/>
      <c r="Q173" s="83"/>
      <c r="R173" s="83"/>
      <c r="S173" s="83"/>
      <c r="T173" s="83"/>
      <c r="AB173" s="186">
        <v>56.7</v>
      </c>
      <c r="AC173" s="187">
        <v>152</v>
      </c>
      <c r="AD173" s="187">
        <v>3.52</v>
      </c>
      <c r="AE173" s="187">
        <v>4150</v>
      </c>
      <c r="AF173" s="234">
        <v>1</v>
      </c>
      <c r="AG173" s="234">
        <v>1</v>
      </c>
      <c r="AH173" s="239">
        <v>0</v>
      </c>
      <c r="AI173" s="239">
        <v>0</v>
      </c>
      <c r="AJ173" s="240">
        <v>13200</v>
      </c>
    </row>
    <row r="174" spans="1:36" ht="20.25" customHeight="1">
      <c r="A174" s="83"/>
      <c r="B174" s="83"/>
      <c r="D174"/>
      <c r="E174" s="216">
        <v>58.7</v>
      </c>
      <c r="F174">
        <v>120</v>
      </c>
      <c r="G174">
        <v>3.19</v>
      </c>
      <c r="H174">
        <v>5000</v>
      </c>
      <c r="I174" s="222">
        <v>0</v>
      </c>
      <c r="J174" s="222">
        <v>0</v>
      </c>
      <c r="K174" s="219">
        <v>0</v>
      </c>
      <c r="L174" s="219">
        <v>0</v>
      </c>
      <c r="M174" s="219">
        <v>0</v>
      </c>
      <c r="N174" s="83">
        <v>12440</v>
      </c>
      <c r="O174" s="83"/>
      <c r="P174" s="83"/>
      <c r="Q174" s="83"/>
      <c r="R174" s="83"/>
      <c r="S174" s="83"/>
      <c r="T174" s="83"/>
      <c r="AB174" s="188">
        <v>58.7</v>
      </c>
      <c r="AC174" s="189">
        <v>120</v>
      </c>
      <c r="AD174" s="189">
        <v>3.19</v>
      </c>
      <c r="AE174" s="189">
        <v>5000</v>
      </c>
      <c r="AF174" s="235">
        <v>0</v>
      </c>
      <c r="AG174" s="235">
        <v>0</v>
      </c>
      <c r="AH174" s="241">
        <v>0</v>
      </c>
      <c r="AI174" s="241">
        <v>0</v>
      </c>
      <c r="AJ174" s="242">
        <v>12440</v>
      </c>
    </row>
    <row r="175" spans="1:36" ht="20.25" customHeight="1">
      <c r="A175" s="83"/>
      <c r="B175" s="83"/>
      <c r="D175"/>
      <c r="E175" s="216">
        <v>58.7</v>
      </c>
      <c r="F175">
        <v>152</v>
      </c>
      <c r="G175">
        <v>3.52</v>
      </c>
      <c r="H175">
        <v>4150</v>
      </c>
      <c r="I175" s="222">
        <v>1</v>
      </c>
      <c r="J175" s="222">
        <v>1</v>
      </c>
      <c r="K175" s="219">
        <v>0</v>
      </c>
      <c r="L175" s="219">
        <v>0</v>
      </c>
      <c r="M175" s="219">
        <v>0</v>
      </c>
      <c r="N175" s="83">
        <v>13860</v>
      </c>
      <c r="O175" s="83"/>
      <c r="P175" s="83"/>
      <c r="Q175" s="83"/>
      <c r="R175" s="83"/>
      <c r="S175" s="83"/>
      <c r="T175" s="83"/>
      <c r="AB175" s="186">
        <v>58.7</v>
      </c>
      <c r="AC175" s="187">
        <v>152</v>
      </c>
      <c r="AD175" s="187">
        <v>3.52</v>
      </c>
      <c r="AE175" s="187">
        <v>4150</v>
      </c>
      <c r="AF175" s="234">
        <v>1</v>
      </c>
      <c r="AG175" s="234">
        <v>1</v>
      </c>
      <c r="AH175" s="239">
        <v>0</v>
      </c>
      <c r="AI175" s="239">
        <v>0</v>
      </c>
      <c r="AJ175" s="240">
        <v>13860</v>
      </c>
    </row>
    <row r="176" spans="1:36" ht="20.25" customHeight="1">
      <c r="A176" s="83"/>
      <c r="B176" s="83"/>
      <c r="D176"/>
      <c r="E176" s="216">
        <v>56.7</v>
      </c>
      <c r="F176">
        <v>120</v>
      </c>
      <c r="G176">
        <v>2.19</v>
      </c>
      <c r="H176">
        <v>5000</v>
      </c>
      <c r="I176" s="222">
        <v>0</v>
      </c>
      <c r="J176" s="222">
        <v>0</v>
      </c>
      <c r="K176" s="219">
        <v>0</v>
      </c>
      <c r="L176" s="219">
        <v>0</v>
      </c>
      <c r="M176" s="219">
        <v>0</v>
      </c>
      <c r="N176" s="83">
        <v>15580</v>
      </c>
      <c r="O176" s="83"/>
      <c r="P176" s="83"/>
      <c r="Q176" s="83"/>
      <c r="R176" s="83"/>
      <c r="S176" s="83"/>
      <c r="T176" s="83"/>
      <c r="AB176" s="188">
        <v>56.7</v>
      </c>
      <c r="AC176" s="189">
        <v>120</v>
      </c>
      <c r="AD176" s="189">
        <v>2.19</v>
      </c>
      <c r="AE176" s="189">
        <v>5000</v>
      </c>
      <c r="AF176" s="235">
        <v>0</v>
      </c>
      <c r="AG176" s="235">
        <v>0</v>
      </c>
      <c r="AH176" s="241">
        <v>0</v>
      </c>
      <c r="AI176" s="241">
        <v>0</v>
      </c>
      <c r="AJ176" s="242">
        <v>15580</v>
      </c>
    </row>
    <row r="177" spans="1:36" ht="20.25" customHeight="1">
      <c r="A177" s="83"/>
      <c r="B177" s="83"/>
      <c r="D177"/>
      <c r="E177" s="216">
        <v>56.7</v>
      </c>
      <c r="F177">
        <v>152</v>
      </c>
      <c r="G177">
        <v>3.52</v>
      </c>
      <c r="H177">
        <v>4150</v>
      </c>
      <c r="I177" s="222">
        <v>1</v>
      </c>
      <c r="J177" s="222">
        <v>1</v>
      </c>
      <c r="K177" s="219">
        <v>0</v>
      </c>
      <c r="L177" s="219">
        <v>0</v>
      </c>
      <c r="M177" s="219">
        <v>0</v>
      </c>
      <c r="N177" s="83">
        <v>16900</v>
      </c>
      <c r="O177" s="83"/>
      <c r="P177" s="83"/>
      <c r="Q177" s="83"/>
      <c r="R177" s="83"/>
      <c r="S177" s="83"/>
      <c r="T177" s="83"/>
      <c r="AB177" s="186">
        <v>56.7</v>
      </c>
      <c r="AC177" s="187">
        <v>152</v>
      </c>
      <c r="AD177" s="187">
        <v>3.52</v>
      </c>
      <c r="AE177" s="187">
        <v>4150</v>
      </c>
      <c r="AF177" s="234">
        <v>1</v>
      </c>
      <c r="AG177" s="234">
        <v>1</v>
      </c>
      <c r="AH177" s="239">
        <v>0</v>
      </c>
      <c r="AI177" s="239">
        <v>0</v>
      </c>
      <c r="AJ177" s="240">
        <v>16900</v>
      </c>
    </row>
    <row r="178" spans="1:36" ht="20.25" customHeight="1">
      <c r="A178" s="83"/>
      <c r="B178" s="83"/>
      <c r="D178"/>
      <c r="E178" s="216">
        <v>56.7</v>
      </c>
      <c r="F178">
        <v>120</v>
      </c>
      <c r="G178">
        <v>2.19</v>
      </c>
      <c r="H178">
        <v>5000</v>
      </c>
      <c r="I178" s="222">
        <v>0</v>
      </c>
      <c r="J178" s="222">
        <v>0</v>
      </c>
      <c r="K178" s="219">
        <v>0</v>
      </c>
      <c r="L178" s="219">
        <v>0</v>
      </c>
      <c r="M178" s="219">
        <v>0</v>
      </c>
      <c r="N178" s="83">
        <v>16695</v>
      </c>
      <c r="O178" s="83"/>
      <c r="P178" s="83"/>
      <c r="Q178" s="83"/>
      <c r="R178" s="83"/>
      <c r="S178" s="83"/>
      <c r="T178" s="83"/>
      <c r="AB178" s="188">
        <v>56.7</v>
      </c>
      <c r="AC178" s="189">
        <v>120</v>
      </c>
      <c r="AD178" s="189">
        <v>2.19</v>
      </c>
      <c r="AE178" s="189">
        <v>5000</v>
      </c>
      <c r="AF178" s="235">
        <v>0</v>
      </c>
      <c r="AG178" s="235">
        <v>0</v>
      </c>
      <c r="AH178" s="241">
        <v>0</v>
      </c>
      <c r="AI178" s="241">
        <v>0</v>
      </c>
      <c r="AJ178" s="242">
        <v>16695</v>
      </c>
    </row>
    <row r="179" spans="1:36" ht="20.25" customHeight="1">
      <c r="A179" s="83"/>
      <c r="B179" s="83"/>
      <c r="D179"/>
      <c r="E179" s="216">
        <v>58.7</v>
      </c>
      <c r="F179">
        <v>152</v>
      </c>
      <c r="G179">
        <v>3.52</v>
      </c>
      <c r="H179">
        <v>4150</v>
      </c>
      <c r="I179" s="222">
        <v>1</v>
      </c>
      <c r="J179" s="222">
        <v>1</v>
      </c>
      <c r="K179" s="219">
        <v>0</v>
      </c>
      <c r="L179" s="219">
        <v>0</v>
      </c>
      <c r="M179" s="219">
        <v>0</v>
      </c>
      <c r="N179" s="83">
        <v>17075</v>
      </c>
      <c r="O179" s="83"/>
      <c r="P179" s="83"/>
      <c r="Q179" s="83"/>
      <c r="R179" s="83"/>
      <c r="S179" s="83"/>
      <c r="T179" s="83"/>
      <c r="AB179" s="186">
        <v>58.7</v>
      </c>
      <c r="AC179" s="187">
        <v>152</v>
      </c>
      <c r="AD179" s="187">
        <v>3.52</v>
      </c>
      <c r="AE179" s="187">
        <v>4150</v>
      </c>
      <c r="AF179" s="234">
        <v>1</v>
      </c>
      <c r="AG179" s="234">
        <v>1</v>
      </c>
      <c r="AH179" s="239">
        <v>0</v>
      </c>
      <c r="AI179" s="239">
        <v>0</v>
      </c>
      <c r="AJ179" s="240">
        <v>17075</v>
      </c>
    </row>
    <row r="180" spans="1:36" ht="20.25" customHeight="1">
      <c r="A180" s="83"/>
      <c r="B180" s="83"/>
      <c r="D180"/>
      <c r="E180" s="216">
        <v>56.7</v>
      </c>
      <c r="F180">
        <v>120</v>
      </c>
      <c r="G180">
        <v>3.19</v>
      </c>
      <c r="H180">
        <v>5000</v>
      </c>
      <c r="I180" s="222">
        <v>0</v>
      </c>
      <c r="J180" s="222">
        <v>0</v>
      </c>
      <c r="K180" s="219">
        <v>0</v>
      </c>
      <c r="L180" s="219">
        <v>0</v>
      </c>
      <c r="M180" s="219">
        <v>0</v>
      </c>
      <c r="N180" s="83">
        <v>16630</v>
      </c>
      <c r="O180" s="83"/>
      <c r="P180" s="83"/>
      <c r="Q180" s="83"/>
      <c r="R180" s="83"/>
      <c r="S180" s="83"/>
      <c r="T180" s="83"/>
      <c r="AB180" s="188">
        <v>56.7</v>
      </c>
      <c r="AC180" s="189">
        <v>120</v>
      </c>
      <c r="AD180" s="189">
        <v>3.19</v>
      </c>
      <c r="AE180" s="189">
        <v>5000</v>
      </c>
      <c r="AF180" s="235">
        <v>0</v>
      </c>
      <c r="AG180" s="235">
        <v>0</v>
      </c>
      <c r="AH180" s="241">
        <v>0</v>
      </c>
      <c r="AI180" s="241">
        <v>0</v>
      </c>
      <c r="AJ180" s="242">
        <v>16630</v>
      </c>
    </row>
    <row r="181" spans="1:36" ht="20.25" customHeight="1">
      <c r="A181" s="83"/>
      <c r="B181" s="83"/>
      <c r="D181"/>
      <c r="E181" s="216">
        <v>56.7</v>
      </c>
      <c r="F181">
        <v>152</v>
      </c>
      <c r="G181">
        <v>3.52</v>
      </c>
      <c r="H181">
        <v>4150</v>
      </c>
      <c r="I181" s="222">
        <v>1</v>
      </c>
      <c r="J181" s="222">
        <v>1</v>
      </c>
      <c r="K181" s="219">
        <v>0</v>
      </c>
      <c r="L181" s="219">
        <v>0</v>
      </c>
      <c r="M181" s="219">
        <v>0</v>
      </c>
      <c r="N181" s="83">
        <v>17950</v>
      </c>
      <c r="O181" s="83"/>
      <c r="P181" s="83"/>
      <c r="Q181" s="83"/>
      <c r="R181" s="83"/>
      <c r="S181" s="83"/>
      <c r="T181" s="83"/>
      <c r="AB181" s="186">
        <v>56.7</v>
      </c>
      <c r="AC181" s="187">
        <v>152</v>
      </c>
      <c r="AD181" s="187">
        <v>3.52</v>
      </c>
      <c r="AE181" s="187">
        <v>4150</v>
      </c>
      <c r="AF181" s="234">
        <v>1</v>
      </c>
      <c r="AG181" s="234">
        <v>1</v>
      </c>
      <c r="AH181" s="239">
        <v>0</v>
      </c>
      <c r="AI181" s="239">
        <v>0</v>
      </c>
      <c r="AJ181" s="240">
        <v>17950</v>
      </c>
    </row>
    <row r="182" spans="1:36" ht="20.25" customHeight="1">
      <c r="A182" s="83"/>
      <c r="B182" s="83"/>
      <c r="D182"/>
      <c r="E182" s="216">
        <v>56</v>
      </c>
      <c r="F182">
        <v>134</v>
      </c>
      <c r="G182">
        <v>3.21</v>
      </c>
      <c r="H182">
        <v>5600</v>
      </c>
      <c r="I182" s="222">
        <v>0</v>
      </c>
      <c r="J182" s="222">
        <v>1</v>
      </c>
      <c r="K182" s="219">
        <v>0</v>
      </c>
      <c r="L182" s="219">
        <v>0</v>
      </c>
      <c r="M182" s="219">
        <v>0</v>
      </c>
      <c r="N182" s="83">
        <v>18150</v>
      </c>
      <c r="O182" s="83"/>
      <c r="P182" s="83"/>
      <c r="Q182" s="83"/>
      <c r="R182" s="83"/>
      <c r="S182" s="83"/>
      <c r="T182" s="83"/>
      <c r="AB182" s="188">
        <v>56</v>
      </c>
      <c r="AC182" s="189">
        <v>134</v>
      </c>
      <c r="AD182" s="189">
        <v>3.21</v>
      </c>
      <c r="AE182" s="189">
        <v>5600</v>
      </c>
      <c r="AF182" s="235">
        <v>0</v>
      </c>
      <c r="AG182" s="235">
        <v>1</v>
      </c>
      <c r="AH182" s="241">
        <v>0</v>
      </c>
      <c r="AI182" s="241">
        <v>0</v>
      </c>
      <c r="AJ182" s="242">
        <v>18150</v>
      </c>
    </row>
    <row r="183" spans="1:36" ht="20.25" customHeight="1">
      <c r="A183" s="83"/>
      <c r="B183" s="83"/>
      <c r="D183"/>
      <c r="E183" s="216">
        <v>50.8</v>
      </c>
      <c r="F183">
        <v>90</v>
      </c>
      <c r="G183">
        <v>3.23</v>
      </c>
      <c r="H183">
        <v>5500</v>
      </c>
      <c r="I183" s="222">
        <v>0</v>
      </c>
      <c r="J183" s="222">
        <v>0</v>
      </c>
      <c r="K183" s="219">
        <v>0</v>
      </c>
      <c r="L183" s="219">
        <v>1</v>
      </c>
      <c r="M183" s="219">
        <v>0</v>
      </c>
      <c r="N183" s="83">
        <v>5572</v>
      </c>
      <c r="O183" s="83"/>
      <c r="P183" s="83"/>
      <c r="Q183" s="83"/>
      <c r="R183" s="83"/>
      <c r="S183" s="83"/>
      <c r="T183" s="83"/>
      <c r="AB183" s="186">
        <v>50.8</v>
      </c>
      <c r="AC183" s="187">
        <v>90</v>
      </c>
      <c r="AD183" s="187">
        <v>3.23</v>
      </c>
      <c r="AE183" s="187">
        <v>5500</v>
      </c>
      <c r="AF183" s="234">
        <v>0</v>
      </c>
      <c r="AG183" s="234">
        <v>0</v>
      </c>
      <c r="AH183" s="239">
        <v>1</v>
      </c>
      <c r="AI183" s="239">
        <v>0</v>
      </c>
      <c r="AJ183" s="240">
        <v>5572</v>
      </c>
    </row>
    <row r="184" spans="1:36" ht="20.25" customHeight="1">
      <c r="A184" s="83"/>
      <c r="B184" s="83"/>
      <c r="D184"/>
      <c r="E184" s="216">
        <v>50.8</v>
      </c>
      <c r="F184">
        <v>98</v>
      </c>
      <c r="G184">
        <v>3.39</v>
      </c>
      <c r="H184">
        <v>5500</v>
      </c>
      <c r="I184" s="222">
        <v>0</v>
      </c>
      <c r="J184" s="222">
        <v>1</v>
      </c>
      <c r="K184" s="219">
        <v>0</v>
      </c>
      <c r="L184" s="219">
        <v>1</v>
      </c>
      <c r="M184" s="219">
        <v>0</v>
      </c>
      <c r="N184" s="83">
        <v>7957</v>
      </c>
      <c r="O184" s="83"/>
      <c r="P184" s="83"/>
      <c r="Q184" s="83"/>
      <c r="R184" s="83"/>
      <c r="S184" s="83"/>
      <c r="T184" s="83"/>
      <c r="AB184" s="188">
        <v>50.8</v>
      </c>
      <c r="AC184" s="189">
        <v>98</v>
      </c>
      <c r="AD184" s="189">
        <v>3.39</v>
      </c>
      <c r="AE184" s="189">
        <v>5500</v>
      </c>
      <c r="AF184" s="235">
        <v>0</v>
      </c>
      <c r="AG184" s="235">
        <v>1</v>
      </c>
      <c r="AH184" s="241">
        <v>1</v>
      </c>
      <c r="AI184" s="241">
        <v>0</v>
      </c>
      <c r="AJ184" s="242">
        <v>7957</v>
      </c>
    </row>
    <row r="185" spans="1:36" ht="20.25" customHeight="1">
      <c r="A185" s="83"/>
      <c r="B185" s="83"/>
      <c r="D185"/>
      <c r="E185" s="216">
        <v>50.6</v>
      </c>
      <c r="F185">
        <v>90</v>
      </c>
      <c r="G185">
        <v>3.23</v>
      </c>
      <c r="H185">
        <v>5500</v>
      </c>
      <c r="I185" s="222">
        <v>0</v>
      </c>
      <c r="J185" s="222">
        <v>0</v>
      </c>
      <c r="K185" s="219">
        <v>0</v>
      </c>
      <c r="L185" s="219">
        <v>1</v>
      </c>
      <c r="M185" s="219">
        <v>0</v>
      </c>
      <c r="N185" s="83">
        <v>6229</v>
      </c>
      <c r="O185" s="83"/>
      <c r="P185" s="83"/>
      <c r="Q185" s="83"/>
      <c r="R185" s="83"/>
      <c r="S185" s="83"/>
      <c r="T185" s="83"/>
      <c r="AB185" s="186">
        <v>50.6</v>
      </c>
      <c r="AC185" s="187">
        <v>90</v>
      </c>
      <c r="AD185" s="187">
        <v>3.23</v>
      </c>
      <c r="AE185" s="187">
        <v>5500</v>
      </c>
      <c r="AF185" s="234">
        <v>0</v>
      </c>
      <c r="AG185" s="234">
        <v>0</v>
      </c>
      <c r="AH185" s="239">
        <v>1</v>
      </c>
      <c r="AI185" s="239">
        <v>0</v>
      </c>
      <c r="AJ185" s="240">
        <v>6229</v>
      </c>
    </row>
    <row r="186" spans="1:36" ht="20.25" customHeight="1">
      <c r="A186" s="83"/>
      <c r="B186" s="83"/>
      <c r="D186"/>
      <c r="E186" s="216">
        <v>50.8</v>
      </c>
      <c r="F186">
        <v>90</v>
      </c>
      <c r="G186">
        <v>3.23</v>
      </c>
      <c r="H186">
        <v>5500</v>
      </c>
      <c r="I186" s="222">
        <v>0</v>
      </c>
      <c r="J186" s="222">
        <v>0</v>
      </c>
      <c r="K186" s="219">
        <v>0</v>
      </c>
      <c r="L186" s="219">
        <v>1</v>
      </c>
      <c r="M186" s="219">
        <v>0</v>
      </c>
      <c r="N186" s="83">
        <v>6692</v>
      </c>
      <c r="O186" s="83"/>
      <c r="P186" s="83"/>
      <c r="Q186" s="83"/>
      <c r="R186" s="83"/>
      <c r="S186" s="83"/>
      <c r="T186" s="83"/>
      <c r="AB186" s="188">
        <v>50.8</v>
      </c>
      <c r="AC186" s="189">
        <v>90</v>
      </c>
      <c r="AD186" s="189">
        <v>3.23</v>
      </c>
      <c r="AE186" s="189">
        <v>5500</v>
      </c>
      <c r="AF186" s="235">
        <v>0</v>
      </c>
      <c r="AG186" s="235">
        <v>0</v>
      </c>
      <c r="AH186" s="241">
        <v>1</v>
      </c>
      <c r="AI186" s="241">
        <v>0</v>
      </c>
      <c r="AJ186" s="242">
        <v>6692</v>
      </c>
    </row>
    <row r="187" spans="1:36" ht="20.25" customHeight="1">
      <c r="A187" s="83"/>
      <c r="B187" s="83"/>
      <c r="D187"/>
      <c r="E187" s="216">
        <v>50.8</v>
      </c>
      <c r="F187">
        <v>98</v>
      </c>
      <c r="G187">
        <v>3.23</v>
      </c>
      <c r="H187">
        <v>5500</v>
      </c>
      <c r="I187" s="222">
        <v>0</v>
      </c>
      <c r="J187" s="222">
        <v>0</v>
      </c>
      <c r="K187" s="219">
        <v>0</v>
      </c>
      <c r="L187" s="219">
        <v>1</v>
      </c>
      <c r="M187" s="219">
        <v>0</v>
      </c>
      <c r="N187" s="83">
        <v>7609</v>
      </c>
      <c r="O187" s="83"/>
      <c r="P187" s="83"/>
      <c r="Q187" s="83"/>
      <c r="R187" s="83"/>
      <c r="S187" s="83"/>
      <c r="T187" s="83"/>
      <c r="AB187" s="186">
        <v>50.8</v>
      </c>
      <c r="AC187" s="187">
        <v>98</v>
      </c>
      <c r="AD187" s="187">
        <v>3.23</v>
      </c>
      <c r="AE187" s="187">
        <v>5500</v>
      </c>
      <c r="AF187" s="234">
        <v>0</v>
      </c>
      <c r="AG187" s="234">
        <v>0</v>
      </c>
      <c r="AH187" s="239">
        <v>1</v>
      </c>
      <c r="AI187" s="239">
        <v>0</v>
      </c>
      <c r="AJ187" s="240">
        <v>7609</v>
      </c>
    </row>
    <row r="188" spans="1:36" ht="20.25" customHeight="1">
      <c r="A188" s="83"/>
      <c r="B188" s="83"/>
      <c r="D188"/>
      <c r="E188" s="216">
        <v>59.8</v>
      </c>
      <c r="F188">
        <v>122</v>
      </c>
      <c r="G188">
        <v>3.46</v>
      </c>
      <c r="H188">
        <v>5000</v>
      </c>
      <c r="I188" s="222">
        <v>0</v>
      </c>
      <c r="J188" s="222">
        <v>0</v>
      </c>
      <c r="K188" s="219">
        <v>0</v>
      </c>
      <c r="L188" s="219">
        <v>1</v>
      </c>
      <c r="M188" s="219">
        <v>0</v>
      </c>
      <c r="N188" s="83">
        <v>8921</v>
      </c>
      <c r="O188" s="83"/>
      <c r="P188" s="83"/>
      <c r="Q188" s="83"/>
      <c r="R188" s="83"/>
      <c r="S188" s="83"/>
      <c r="T188" s="83"/>
      <c r="AB188" s="188">
        <v>59.8</v>
      </c>
      <c r="AC188" s="189">
        <v>122</v>
      </c>
      <c r="AD188" s="189">
        <v>3.46</v>
      </c>
      <c r="AE188" s="189">
        <v>5000</v>
      </c>
      <c r="AF188" s="235">
        <v>0</v>
      </c>
      <c r="AG188" s="235">
        <v>0</v>
      </c>
      <c r="AH188" s="241">
        <v>1</v>
      </c>
      <c r="AI188" s="241">
        <v>0</v>
      </c>
      <c r="AJ188" s="242">
        <v>8921</v>
      </c>
    </row>
    <row r="189" spans="1:36" ht="20.25" customHeight="1">
      <c r="A189" s="83"/>
      <c r="B189" s="83"/>
      <c r="D189"/>
      <c r="E189" s="216">
        <v>50.2</v>
      </c>
      <c r="F189">
        <v>156</v>
      </c>
      <c r="G189">
        <v>3.86</v>
      </c>
      <c r="H189">
        <v>5000</v>
      </c>
      <c r="I189" s="222">
        <v>0</v>
      </c>
      <c r="J189" s="222">
        <v>1</v>
      </c>
      <c r="K189" s="219">
        <v>0</v>
      </c>
      <c r="L189" s="219">
        <v>0</v>
      </c>
      <c r="M189" s="219">
        <v>0</v>
      </c>
      <c r="N189" s="83">
        <v>12764</v>
      </c>
      <c r="O189" s="83"/>
      <c r="P189" s="83"/>
      <c r="Q189" s="83"/>
      <c r="R189" s="83"/>
      <c r="S189" s="83"/>
      <c r="T189" s="83"/>
      <c r="AB189" s="186">
        <v>50.2</v>
      </c>
      <c r="AC189" s="187">
        <v>156</v>
      </c>
      <c r="AD189" s="187">
        <v>3.86</v>
      </c>
      <c r="AE189" s="187">
        <v>5000</v>
      </c>
      <c r="AF189" s="234">
        <v>0</v>
      </c>
      <c r="AG189" s="234">
        <v>1</v>
      </c>
      <c r="AH189" s="239">
        <v>0</v>
      </c>
      <c r="AI189" s="239">
        <v>0</v>
      </c>
      <c r="AJ189" s="240">
        <v>12764</v>
      </c>
    </row>
    <row r="190" spans="1:36" ht="20.25" customHeight="1">
      <c r="A190" s="83"/>
      <c r="B190" s="83"/>
      <c r="D190"/>
      <c r="E190" s="216">
        <v>50.2</v>
      </c>
      <c r="F190">
        <v>151</v>
      </c>
      <c r="G190">
        <v>3.11</v>
      </c>
      <c r="H190">
        <v>5500</v>
      </c>
      <c r="I190" s="222">
        <v>0</v>
      </c>
      <c r="J190" s="222">
        <v>0</v>
      </c>
      <c r="K190" s="219">
        <v>0</v>
      </c>
      <c r="L190" s="219">
        <v>0</v>
      </c>
      <c r="M190" s="219">
        <v>0</v>
      </c>
      <c r="N190" s="83">
        <v>22018</v>
      </c>
      <c r="O190" s="83"/>
      <c r="P190" s="83"/>
      <c r="Q190" s="83"/>
      <c r="R190" s="83"/>
      <c r="S190" s="83"/>
      <c r="T190" s="83"/>
      <c r="AB190" s="188">
        <v>50.2</v>
      </c>
      <c r="AC190" s="189">
        <v>151</v>
      </c>
      <c r="AD190" s="189">
        <v>3.11</v>
      </c>
      <c r="AE190" s="189">
        <v>5500</v>
      </c>
      <c r="AF190" s="235">
        <v>0</v>
      </c>
      <c r="AG190" s="235">
        <v>0</v>
      </c>
      <c r="AH190" s="241">
        <v>0</v>
      </c>
      <c r="AI190" s="241">
        <v>0</v>
      </c>
      <c r="AJ190" s="242">
        <v>22018</v>
      </c>
    </row>
    <row r="191" spans="1:36" ht="20.25" customHeight="1">
      <c r="A191" s="83"/>
      <c r="B191" s="83"/>
      <c r="D191"/>
      <c r="E191" s="216">
        <v>51.6</v>
      </c>
      <c r="F191">
        <v>194</v>
      </c>
      <c r="G191">
        <v>2.9</v>
      </c>
      <c r="H191">
        <v>5900</v>
      </c>
      <c r="I191" s="222">
        <v>0</v>
      </c>
      <c r="J191" s="222">
        <v>0</v>
      </c>
      <c r="K191" s="219">
        <v>0</v>
      </c>
      <c r="L191" s="219">
        <v>0</v>
      </c>
      <c r="M191" s="219">
        <v>1</v>
      </c>
      <c r="N191" s="83">
        <v>32528</v>
      </c>
      <c r="O191" s="83"/>
      <c r="P191" s="83"/>
      <c r="Q191" s="83"/>
      <c r="R191" s="83"/>
      <c r="S191" s="83"/>
      <c r="T191" s="83"/>
      <c r="AB191" s="186">
        <v>51.6</v>
      </c>
      <c r="AC191" s="187">
        <v>194</v>
      </c>
      <c r="AD191" s="187">
        <v>2.9</v>
      </c>
      <c r="AE191" s="187">
        <v>5900</v>
      </c>
      <c r="AF191" s="234">
        <v>0</v>
      </c>
      <c r="AG191" s="234">
        <v>0</v>
      </c>
      <c r="AH191" s="239">
        <v>0</v>
      </c>
      <c r="AI191" s="239">
        <v>1</v>
      </c>
      <c r="AJ191" s="240">
        <v>32528</v>
      </c>
    </row>
    <row r="192" spans="1:36" ht="20.25" customHeight="1">
      <c r="A192" s="83"/>
      <c r="B192" s="83"/>
      <c r="D192"/>
      <c r="E192" s="216">
        <v>51.6</v>
      </c>
      <c r="F192">
        <v>194</v>
      </c>
      <c r="G192">
        <v>2.9</v>
      </c>
      <c r="H192">
        <v>5900</v>
      </c>
      <c r="I192" s="222">
        <v>0</v>
      </c>
      <c r="J192" s="222">
        <v>0</v>
      </c>
      <c r="K192" s="219">
        <v>0</v>
      </c>
      <c r="L192" s="219">
        <v>0</v>
      </c>
      <c r="M192" s="219">
        <v>1</v>
      </c>
      <c r="N192" s="83">
        <v>34028</v>
      </c>
      <c r="O192" s="83"/>
      <c r="P192" s="83"/>
      <c r="Q192" s="83"/>
      <c r="R192" s="83"/>
      <c r="S192" s="83"/>
      <c r="T192" s="83"/>
      <c r="AB192" s="188">
        <v>51.6</v>
      </c>
      <c r="AC192" s="189">
        <v>194</v>
      </c>
      <c r="AD192" s="189">
        <v>2.9</v>
      </c>
      <c r="AE192" s="189">
        <v>5900</v>
      </c>
      <c r="AF192" s="235">
        <v>0</v>
      </c>
      <c r="AG192" s="235">
        <v>0</v>
      </c>
      <c r="AH192" s="241">
        <v>0</v>
      </c>
      <c r="AI192" s="241">
        <v>1</v>
      </c>
      <c r="AJ192" s="242">
        <v>34028</v>
      </c>
    </row>
    <row r="193" spans="1:36" ht="20.25" customHeight="1">
      <c r="A193" s="83"/>
      <c r="B193" s="83"/>
      <c r="D193"/>
      <c r="E193" s="216">
        <v>51.6</v>
      </c>
      <c r="F193">
        <v>194</v>
      </c>
      <c r="G193">
        <v>2.9</v>
      </c>
      <c r="H193">
        <v>5900</v>
      </c>
      <c r="I193" s="222">
        <v>0</v>
      </c>
      <c r="J193" s="222">
        <v>0</v>
      </c>
      <c r="K193" s="219">
        <v>0</v>
      </c>
      <c r="L193" s="219">
        <v>0</v>
      </c>
      <c r="M193" s="219">
        <v>1</v>
      </c>
      <c r="N193" s="83">
        <v>37028</v>
      </c>
      <c r="O193" s="83"/>
      <c r="P193" s="83"/>
      <c r="Q193" s="83"/>
      <c r="R193" s="83"/>
      <c r="S193" s="83"/>
      <c r="T193" s="83"/>
      <c r="AB193" s="186">
        <v>51.6</v>
      </c>
      <c r="AC193" s="187">
        <v>194</v>
      </c>
      <c r="AD193" s="187">
        <v>2.9</v>
      </c>
      <c r="AE193" s="187">
        <v>5900</v>
      </c>
      <c r="AF193" s="234">
        <v>0</v>
      </c>
      <c r="AG193" s="234">
        <v>0</v>
      </c>
      <c r="AH193" s="239">
        <v>0</v>
      </c>
      <c r="AI193" s="239">
        <v>1</v>
      </c>
      <c r="AJ193" s="240">
        <v>37028</v>
      </c>
    </row>
    <row r="194" spans="1:36" ht="20.25" customHeight="1">
      <c r="A194" s="83"/>
      <c r="B194" s="83"/>
      <c r="D194"/>
      <c r="E194" s="216">
        <v>50.5</v>
      </c>
      <c r="F194">
        <v>203</v>
      </c>
      <c r="G194">
        <v>3.11</v>
      </c>
      <c r="H194">
        <v>5750</v>
      </c>
      <c r="I194" s="222">
        <v>0</v>
      </c>
      <c r="J194" s="222">
        <v>0</v>
      </c>
      <c r="K194" s="219">
        <v>0</v>
      </c>
      <c r="L194" s="219">
        <v>0</v>
      </c>
      <c r="M194" s="219">
        <v>0</v>
      </c>
      <c r="N194" s="83">
        <v>31400.5</v>
      </c>
      <c r="O194" s="83"/>
      <c r="P194" s="83"/>
      <c r="Q194" s="83"/>
      <c r="R194" s="83"/>
      <c r="S194" s="83"/>
      <c r="T194" s="83"/>
      <c r="AB194" s="188">
        <v>50.5</v>
      </c>
      <c r="AC194" s="189">
        <v>203</v>
      </c>
      <c r="AD194" s="189">
        <v>3.11</v>
      </c>
      <c r="AE194" s="189">
        <v>5750</v>
      </c>
      <c r="AF194" s="235">
        <v>0</v>
      </c>
      <c r="AG194" s="235">
        <v>0</v>
      </c>
      <c r="AH194" s="241">
        <v>0</v>
      </c>
      <c r="AI194" s="241">
        <v>0</v>
      </c>
      <c r="AJ194" s="242">
        <v>31400.5</v>
      </c>
    </row>
    <row r="195" spans="1:36" ht="20.25" customHeight="1">
      <c r="A195" s="83"/>
      <c r="B195" s="83"/>
      <c r="D195"/>
      <c r="E195" s="216">
        <v>55.2</v>
      </c>
      <c r="F195">
        <v>132</v>
      </c>
      <c r="G195">
        <v>3.9</v>
      </c>
      <c r="H195">
        <v>5100</v>
      </c>
      <c r="I195" s="222">
        <v>0</v>
      </c>
      <c r="J195" s="222">
        <v>0</v>
      </c>
      <c r="K195" s="219">
        <v>0</v>
      </c>
      <c r="L195" s="219">
        <v>1</v>
      </c>
      <c r="M195" s="219">
        <v>0</v>
      </c>
      <c r="N195" s="83">
        <v>9295</v>
      </c>
      <c r="O195" s="83"/>
      <c r="P195" s="83"/>
      <c r="Q195" s="83"/>
      <c r="R195" s="83"/>
      <c r="S195" s="83"/>
      <c r="T195" s="83"/>
      <c r="AB195" s="186">
        <v>55.2</v>
      </c>
      <c r="AC195" s="187">
        <v>132</v>
      </c>
      <c r="AD195" s="187">
        <v>3.9</v>
      </c>
      <c r="AE195" s="187">
        <v>5100</v>
      </c>
      <c r="AF195" s="234">
        <v>0</v>
      </c>
      <c r="AG195" s="234">
        <v>0</v>
      </c>
      <c r="AH195" s="239">
        <v>1</v>
      </c>
      <c r="AI195" s="239">
        <v>0</v>
      </c>
      <c r="AJ195" s="240">
        <v>9295</v>
      </c>
    </row>
    <row r="196" spans="1:36" ht="20.25" customHeight="1">
      <c r="A196" s="83"/>
      <c r="B196" s="83"/>
      <c r="D196"/>
      <c r="E196" s="216">
        <v>50.5</v>
      </c>
      <c r="F196">
        <v>132</v>
      </c>
      <c r="G196">
        <v>3.9</v>
      </c>
      <c r="H196">
        <v>5100</v>
      </c>
      <c r="I196" s="222">
        <v>0</v>
      </c>
      <c r="J196" s="222">
        <v>0</v>
      </c>
      <c r="K196" s="219">
        <v>0</v>
      </c>
      <c r="L196" s="219">
        <v>1</v>
      </c>
      <c r="M196" s="219">
        <v>0</v>
      </c>
      <c r="N196" s="83">
        <v>9895</v>
      </c>
      <c r="O196" s="83"/>
      <c r="P196" s="83"/>
      <c r="Q196" s="83"/>
      <c r="R196" s="83"/>
      <c r="S196" s="83"/>
      <c r="T196" s="83"/>
      <c r="AB196" s="188">
        <v>50.5</v>
      </c>
      <c r="AC196" s="189">
        <v>132</v>
      </c>
      <c r="AD196" s="189">
        <v>3.9</v>
      </c>
      <c r="AE196" s="189">
        <v>5100</v>
      </c>
      <c r="AF196" s="235">
        <v>0</v>
      </c>
      <c r="AG196" s="235">
        <v>0</v>
      </c>
      <c r="AH196" s="241">
        <v>1</v>
      </c>
      <c r="AI196" s="241">
        <v>0</v>
      </c>
      <c r="AJ196" s="242">
        <v>9895</v>
      </c>
    </row>
    <row r="197" spans="1:36" ht="20.25" customHeight="1">
      <c r="A197" s="83"/>
      <c r="B197" s="83"/>
      <c r="D197"/>
      <c r="E197" s="216">
        <v>56.1</v>
      </c>
      <c r="F197">
        <v>121</v>
      </c>
      <c r="G197">
        <v>3.07</v>
      </c>
      <c r="H197">
        <v>5250</v>
      </c>
      <c r="I197" s="222">
        <v>0</v>
      </c>
      <c r="J197" s="222">
        <v>0</v>
      </c>
      <c r="K197" s="219">
        <v>0</v>
      </c>
      <c r="L197" s="219">
        <v>1</v>
      </c>
      <c r="M197" s="219">
        <v>0</v>
      </c>
      <c r="N197" s="83">
        <v>11850</v>
      </c>
      <c r="O197" s="83"/>
      <c r="P197" s="83"/>
      <c r="Q197" s="83"/>
      <c r="R197" s="83"/>
      <c r="S197" s="83"/>
      <c r="T197" s="83"/>
      <c r="AB197" s="186">
        <v>56.1</v>
      </c>
      <c r="AC197" s="187">
        <v>121</v>
      </c>
      <c r="AD197" s="187">
        <v>3.07</v>
      </c>
      <c r="AE197" s="187">
        <v>5250</v>
      </c>
      <c r="AF197" s="234">
        <v>0</v>
      </c>
      <c r="AG197" s="234">
        <v>0</v>
      </c>
      <c r="AH197" s="239">
        <v>1</v>
      </c>
      <c r="AI197" s="239">
        <v>0</v>
      </c>
      <c r="AJ197" s="240">
        <v>11850</v>
      </c>
    </row>
    <row r="198" spans="1:36" ht="20.25" customHeight="1">
      <c r="A198" s="83"/>
      <c r="B198" s="83"/>
      <c r="D198"/>
      <c r="E198" s="216">
        <v>56.1</v>
      </c>
      <c r="F198">
        <v>121</v>
      </c>
      <c r="G198">
        <v>3.07</v>
      </c>
      <c r="H198">
        <v>5250</v>
      </c>
      <c r="I198" s="222">
        <v>0</v>
      </c>
      <c r="J198" s="222">
        <v>0</v>
      </c>
      <c r="K198" s="219">
        <v>0</v>
      </c>
      <c r="L198" s="219">
        <v>1</v>
      </c>
      <c r="M198" s="219">
        <v>0</v>
      </c>
      <c r="N198" s="83">
        <v>12170</v>
      </c>
      <c r="O198" s="83"/>
      <c r="P198" s="83"/>
      <c r="Q198" s="83"/>
      <c r="R198" s="83"/>
      <c r="S198" s="83"/>
      <c r="T198" s="83"/>
      <c r="AB198" s="188">
        <v>56.1</v>
      </c>
      <c r="AC198" s="189">
        <v>121</v>
      </c>
      <c r="AD198" s="189">
        <v>3.07</v>
      </c>
      <c r="AE198" s="189">
        <v>5250</v>
      </c>
      <c r="AF198" s="235">
        <v>0</v>
      </c>
      <c r="AG198" s="235">
        <v>0</v>
      </c>
      <c r="AH198" s="241">
        <v>1</v>
      </c>
      <c r="AI198" s="241">
        <v>0</v>
      </c>
      <c r="AJ198" s="242">
        <v>12170</v>
      </c>
    </row>
    <row r="199" spans="1:36" ht="20.25" customHeight="1">
      <c r="A199" s="83"/>
      <c r="B199" s="83"/>
      <c r="D199"/>
      <c r="E199" s="216">
        <v>56.1</v>
      </c>
      <c r="F199">
        <v>121</v>
      </c>
      <c r="G199">
        <v>2.0699999999999998</v>
      </c>
      <c r="H199">
        <v>5250</v>
      </c>
      <c r="I199" s="222">
        <v>0</v>
      </c>
      <c r="J199" s="222">
        <v>0</v>
      </c>
      <c r="K199" s="219">
        <v>0</v>
      </c>
      <c r="L199" s="219">
        <v>1</v>
      </c>
      <c r="M199" s="219">
        <v>0</v>
      </c>
      <c r="N199" s="83">
        <v>15040</v>
      </c>
      <c r="O199" s="83"/>
      <c r="P199" s="83"/>
      <c r="Q199" s="83"/>
      <c r="R199" s="83"/>
      <c r="S199" s="83"/>
      <c r="T199" s="83"/>
      <c r="AB199" s="186">
        <v>56.1</v>
      </c>
      <c r="AC199" s="187">
        <v>121</v>
      </c>
      <c r="AD199" s="187">
        <v>2.0699999999999998</v>
      </c>
      <c r="AE199" s="187">
        <v>5250</v>
      </c>
      <c r="AF199" s="234">
        <v>0</v>
      </c>
      <c r="AG199" s="234">
        <v>0</v>
      </c>
      <c r="AH199" s="239">
        <v>1</v>
      </c>
      <c r="AI199" s="239">
        <v>0</v>
      </c>
      <c r="AJ199" s="240">
        <v>15040</v>
      </c>
    </row>
    <row r="200" spans="1:36" ht="20.25" customHeight="1">
      <c r="A200" s="83"/>
      <c r="B200" s="83"/>
      <c r="D200"/>
      <c r="E200" s="216">
        <v>56.1</v>
      </c>
      <c r="F200">
        <v>121</v>
      </c>
      <c r="G200">
        <v>3.07</v>
      </c>
      <c r="H200">
        <v>5250</v>
      </c>
      <c r="I200" s="222">
        <v>0</v>
      </c>
      <c r="J200" s="222">
        <v>0</v>
      </c>
      <c r="K200" s="219">
        <v>0</v>
      </c>
      <c r="L200" s="219">
        <v>1</v>
      </c>
      <c r="M200" s="219">
        <v>0</v>
      </c>
      <c r="N200" s="83">
        <v>15510</v>
      </c>
      <c r="O200" s="83"/>
      <c r="P200" s="83"/>
      <c r="Q200" s="83"/>
      <c r="R200" s="83"/>
      <c r="S200" s="83"/>
      <c r="T200" s="83"/>
      <c r="AB200" s="188">
        <v>56.1</v>
      </c>
      <c r="AC200" s="189">
        <v>121</v>
      </c>
      <c r="AD200" s="189">
        <v>3.07</v>
      </c>
      <c r="AE200" s="189">
        <v>5250</v>
      </c>
      <c r="AF200" s="235">
        <v>0</v>
      </c>
      <c r="AG200" s="235">
        <v>0</v>
      </c>
      <c r="AH200" s="241">
        <v>1</v>
      </c>
      <c r="AI200" s="241">
        <v>0</v>
      </c>
      <c r="AJ200" s="242">
        <v>15510</v>
      </c>
    </row>
    <row r="201" spans="1:36" ht="20.25" customHeight="1">
      <c r="A201" s="83"/>
      <c r="B201" s="83"/>
      <c r="D201"/>
      <c r="E201" s="216">
        <v>56.1</v>
      </c>
      <c r="F201">
        <v>121</v>
      </c>
      <c r="G201">
        <v>3.07</v>
      </c>
      <c r="H201">
        <v>5500</v>
      </c>
      <c r="I201" s="222">
        <v>0</v>
      </c>
      <c r="J201" s="222">
        <v>1</v>
      </c>
      <c r="K201" s="219">
        <v>0</v>
      </c>
      <c r="L201" s="219">
        <v>1</v>
      </c>
      <c r="M201" s="219">
        <v>0</v>
      </c>
      <c r="N201" s="83">
        <v>18150</v>
      </c>
      <c r="O201" s="83"/>
      <c r="P201" s="83"/>
      <c r="Q201" s="83"/>
      <c r="R201" s="83"/>
      <c r="S201" s="83"/>
      <c r="T201" s="83"/>
      <c r="AB201" s="186">
        <v>56.1</v>
      </c>
      <c r="AC201" s="187">
        <v>121</v>
      </c>
      <c r="AD201" s="187">
        <v>3.07</v>
      </c>
      <c r="AE201" s="187">
        <v>5500</v>
      </c>
      <c r="AF201" s="234">
        <v>0</v>
      </c>
      <c r="AG201" s="234">
        <v>1</v>
      </c>
      <c r="AH201" s="239">
        <v>1</v>
      </c>
      <c r="AI201" s="239">
        <v>0</v>
      </c>
      <c r="AJ201" s="240">
        <v>18150</v>
      </c>
    </row>
    <row r="202" spans="1:36" ht="20.25" customHeight="1">
      <c r="A202" s="83"/>
      <c r="B202" s="83"/>
      <c r="D202"/>
      <c r="E202" s="216">
        <v>56.1</v>
      </c>
      <c r="F202">
        <v>121</v>
      </c>
      <c r="G202">
        <v>3.07</v>
      </c>
      <c r="H202">
        <v>5500</v>
      </c>
      <c r="I202" s="222">
        <v>0</v>
      </c>
      <c r="J202" s="222">
        <v>1</v>
      </c>
      <c r="K202" s="219">
        <v>0</v>
      </c>
      <c r="L202" s="219">
        <v>1</v>
      </c>
      <c r="M202" s="219">
        <v>0</v>
      </c>
      <c r="N202" s="83">
        <v>18620</v>
      </c>
      <c r="O202" s="83"/>
      <c r="P202" s="83"/>
      <c r="Q202" s="83"/>
      <c r="R202" s="83"/>
      <c r="S202" s="83"/>
      <c r="T202" s="83"/>
      <c r="AB202" s="188">
        <v>56.1</v>
      </c>
      <c r="AC202" s="189">
        <v>121</v>
      </c>
      <c r="AD202" s="189">
        <v>3.07</v>
      </c>
      <c r="AE202" s="189">
        <v>5500</v>
      </c>
      <c r="AF202" s="235">
        <v>0</v>
      </c>
      <c r="AG202" s="235">
        <v>1</v>
      </c>
      <c r="AH202" s="241">
        <v>1</v>
      </c>
      <c r="AI202" s="241">
        <v>0</v>
      </c>
      <c r="AJ202" s="242">
        <v>18620</v>
      </c>
    </row>
    <row r="203" spans="1:36" ht="20.25" customHeight="1">
      <c r="A203" s="83"/>
      <c r="B203" s="83"/>
      <c r="D203"/>
      <c r="E203" s="216">
        <v>53.7</v>
      </c>
      <c r="F203">
        <v>97</v>
      </c>
      <c r="G203">
        <v>2.36</v>
      </c>
      <c r="H203">
        <v>4900</v>
      </c>
      <c r="I203" s="222">
        <v>0</v>
      </c>
      <c r="J203" s="222">
        <v>0</v>
      </c>
      <c r="K203" s="219">
        <v>0</v>
      </c>
      <c r="L203" s="219">
        <v>1</v>
      </c>
      <c r="M203" s="219">
        <v>0</v>
      </c>
      <c r="N203" s="83">
        <v>5118</v>
      </c>
      <c r="O203" s="83"/>
      <c r="P203" s="83"/>
      <c r="Q203" s="83"/>
      <c r="R203" s="83"/>
      <c r="S203" s="83"/>
      <c r="T203" s="83"/>
      <c r="AB203" s="186">
        <v>53.7</v>
      </c>
      <c r="AC203" s="187">
        <v>97</v>
      </c>
      <c r="AD203" s="187">
        <v>2.36</v>
      </c>
      <c r="AE203" s="187">
        <v>4900</v>
      </c>
      <c r="AF203" s="234">
        <v>0</v>
      </c>
      <c r="AG203" s="234">
        <v>0</v>
      </c>
      <c r="AH203" s="239">
        <v>1</v>
      </c>
      <c r="AI203" s="239">
        <v>0</v>
      </c>
      <c r="AJ203" s="240">
        <v>5118</v>
      </c>
    </row>
    <row r="204" spans="1:36" ht="20.25" customHeight="1">
      <c r="A204" s="83"/>
      <c r="B204" s="83"/>
      <c r="D204"/>
      <c r="E204" s="216">
        <v>53.7</v>
      </c>
      <c r="F204">
        <v>108</v>
      </c>
      <c r="G204">
        <v>2.64</v>
      </c>
      <c r="H204">
        <v>4400</v>
      </c>
      <c r="I204" s="222">
        <v>0</v>
      </c>
      <c r="J204" s="222">
        <v>0</v>
      </c>
      <c r="K204" s="219">
        <v>0</v>
      </c>
      <c r="L204" s="219">
        <v>1</v>
      </c>
      <c r="M204" s="219">
        <v>0</v>
      </c>
      <c r="N204" s="83">
        <v>7053</v>
      </c>
      <c r="O204" s="83"/>
      <c r="P204" s="83"/>
      <c r="Q204" s="83"/>
      <c r="R204" s="83"/>
      <c r="S204" s="83"/>
      <c r="T204" s="83"/>
      <c r="AB204" s="188">
        <v>53.7</v>
      </c>
      <c r="AC204" s="189">
        <v>108</v>
      </c>
      <c r="AD204" s="189">
        <v>2.64</v>
      </c>
      <c r="AE204" s="189">
        <v>4400</v>
      </c>
      <c r="AF204" s="235">
        <v>0</v>
      </c>
      <c r="AG204" s="235">
        <v>0</v>
      </c>
      <c r="AH204" s="241">
        <v>1</v>
      </c>
      <c r="AI204" s="241">
        <v>0</v>
      </c>
      <c r="AJ204" s="242">
        <v>7053</v>
      </c>
    </row>
    <row r="205" spans="1:36" ht="20.25" customHeight="1">
      <c r="A205" s="83"/>
      <c r="B205" s="83"/>
      <c r="D205"/>
      <c r="E205" s="216">
        <v>55.7</v>
      </c>
      <c r="F205">
        <v>108</v>
      </c>
      <c r="G205">
        <v>2.64</v>
      </c>
      <c r="H205">
        <v>4400</v>
      </c>
      <c r="I205" s="222">
        <v>0</v>
      </c>
      <c r="J205" s="222">
        <v>0</v>
      </c>
      <c r="K205" s="219">
        <v>1</v>
      </c>
      <c r="L205" s="219">
        <v>0</v>
      </c>
      <c r="M205" s="219">
        <v>0</v>
      </c>
      <c r="N205" s="83">
        <v>7603</v>
      </c>
      <c r="O205" s="83"/>
      <c r="P205" s="83"/>
      <c r="Q205" s="83"/>
      <c r="R205" s="83"/>
      <c r="S205" s="83"/>
      <c r="T205" s="83"/>
      <c r="AB205" s="186">
        <v>55.7</v>
      </c>
      <c r="AC205" s="187">
        <v>108</v>
      </c>
      <c r="AD205" s="187">
        <v>2.64</v>
      </c>
      <c r="AE205" s="187">
        <v>4400</v>
      </c>
      <c r="AF205" s="234">
        <v>0</v>
      </c>
      <c r="AG205" s="234">
        <v>0</v>
      </c>
      <c r="AH205" s="239">
        <v>0</v>
      </c>
      <c r="AI205" s="239">
        <v>0</v>
      </c>
      <c r="AJ205" s="240">
        <v>7603</v>
      </c>
    </row>
    <row r="206" spans="1:36" ht="20.25" customHeight="1">
      <c r="A206" s="83"/>
      <c r="B206" s="83"/>
      <c r="D206"/>
      <c r="E206" s="216">
        <v>52.5</v>
      </c>
      <c r="F206">
        <v>108</v>
      </c>
      <c r="G206">
        <v>2.64</v>
      </c>
      <c r="H206">
        <v>4800</v>
      </c>
      <c r="I206" s="222">
        <v>0</v>
      </c>
      <c r="J206" s="222">
        <v>0</v>
      </c>
      <c r="K206" s="219">
        <v>0</v>
      </c>
      <c r="L206" s="219">
        <v>1</v>
      </c>
      <c r="M206" s="219">
        <v>0</v>
      </c>
      <c r="N206" s="83">
        <v>7126</v>
      </c>
      <c r="O206" s="83"/>
      <c r="P206" s="83"/>
      <c r="Q206" s="83"/>
      <c r="R206" s="83"/>
      <c r="S206" s="83"/>
      <c r="T206" s="83"/>
      <c r="AB206" s="188">
        <v>52.5</v>
      </c>
      <c r="AC206" s="189">
        <v>108</v>
      </c>
      <c r="AD206" s="189">
        <v>2.64</v>
      </c>
      <c r="AE206" s="189">
        <v>4800</v>
      </c>
      <c r="AF206" s="235">
        <v>0</v>
      </c>
      <c r="AG206" s="235">
        <v>0</v>
      </c>
      <c r="AH206" s="241">
        <v>1</v>
      </c>
      <c r="AI206" s="241">
        <v>0</v>
      </c>
      <c r="AJ206" s="242">
        <v>7126</v>
      </c>
    </row>
    <row r="207" spans="1:36" ht="20.25" customHeight="1">
      <c r="A207" s="83"/>
      <c r="B207" s="83"/>
      <c r="D207"/>
      <c r="E207" s="216">
        <v>52.5</v>
      </c>
      <c r="F207">
        <v>108</v>
      </c>
      <c r="G207">
        <v>2.64</v>
      </c>
      <c r="H207">
        <v>4400</v>
      </c>
      <c r="I207" s="222">
        <v>0</v>
      </c>
      <c r="J207" s="222">
        <v>0</v>
      </c>
      <c r="K207" s="219">
        <v>0</v>
      </c>
      <c r="L207" s="219">
        <v>1</v>
      </c>
      <c r="M207" s="219">
        <v>0</v>
      </c>
      <c r="N207" s="83">
        <v>7775</v>
      </c>
      <c r="O207" s="83"/>
      <c r="P207" s="83"/>
      <c r="Q207" s="83"/>
      <c r="R207" s="83"/>
      <c r="S207" s="83"/>
      <c r="T207" s="83"/>
      <c r="AB207" s="186">
        <v>52.5</v>
      </c>
      <c r="AC207" s="187">
        <v>108</v>
      </c>
      <c r="AD207" s="187">
        <v>2.64</v>
      </c>
      <c r="AE207" s="187">
        <v>4400</v>
      </c>
      <c r="AF207" s="234">
        <v>0</v>
      </c>
      <c r="AG207" s="234">
        <v>0</v>
      </c>
      <c r="AH207" s="239">
        <v>1</v>
      </c>
      <c r="AI207" s="239">
        <v>0</v>
      </c>
      <c r="AJ207" s="240">
        <v>7775</v>
      </c>
    </row>
    <row r="208" spans="1:36" ht="20.25" customHeight="1">
      <c r="A208" s="83"/>
      <c r="B208" s="83"/>
      <c r="D208"/>
      <c r="E208" s="216">
        <v>52.5</v>
      </c>
      <c r="F208">
        <v>108</v>
      </c>
      <c r="G208">
        <v>2.64</v>
      </c>
      <c r="H208">
        <v>5200</v>
      </c>
      <c r="I208" s="222">
        <v>0</v>
      </c>
      <c r="J208" s="222">
        <v>0</v>
      </c>
      <c r="K208" s="219">
        <v>0</v>
      </c>
      <c r="L208" s="219">
        <v>1</v>
      </c>
      <c r="M208" s="219">
        <v>0</v>
      </c>
      <c r="N208" s="83">
        <v>9960</v>
      </c>
      <c r="O208" s="83"/>
      <c r="P208" s="83"/>
      <c r="Q208" s="83"/>
      <c r="R208" s="83"/>
      <c r="S208" s="83"/>
      <c r="T208" s="83"/>
      <c r="AB208" s="188">
        <v>52.5</v>
      </c>
      <c r="AC208" s="189">
        <v>108</v>
      </c>
      <c r="AD208" s="189">
        <v>2.64</v>
      </c>
      <c r="AE208" s="189">
        <v>5200</v>
      </c>
      <c r="AF208" s="235">
        <v>0</v>
      </c>
      <c r="AG208" s="235">
        <v>0</v>
      </c>
      <c r="AH208" s="241">
        <v>1</v>
      </c>
      <c r="AI208" s="241">
        <v>0</v>
      </c>
      <c r="AJ208" s="242">
        <v>9960</v>
      </c>
    </row>
    <row r="209" spans="1:36" ht="20.25" customHeight="1">
      <c r="A209" s="83"/>
      <c r="B209" s="83"/>
      <c r="D209"/>
      <c r="E209" s="216">
        <v>54.3</v>
      </c>
      <c r="F209">
        <v>108</v>
      </c>
      <c r="G209">
        <v>2.64</v>
      </c>
      <c r="H209">
        <v>4800</v>
      </c>
      <c r="I209" s="222">
        <v>0</v>
      </c>
      <c r="J209" s="222">
        <v>0</v>
      </c>
      <c r="K209" s="219">
        <v>1</v>
      </c>
      <c r="L209" s="219">
        <v>0</v>
      </c>
      <c r="M209" s="219">
        <v>0</v>
      </c>
      <c r="N209" s="83">
        <v>9233</v>
      </c>
      <c r="O209" s="83"/>
      <c r="P209" s="83"/>
      <c r="Q209" s="83"/>
      <c r="R209" s="83"/>
      <c r="S209" s="83"/>
      <c r="T209" s="83"/>
      <c r="AB209" s="186">
        <v>54.3</v>
      </c>
      <c r="AC209" s="187">
        <v>108</v>
      </c>
      <c r="AD209" s="187">
        <v>2.64</v>
      </c>
      <c r="AE209" s="187">
        <v>4800</v>
      </c>
      <c r="AF209" s="234">
        <v>0</v>
      </c>
      <c r="AG209" s="234">
        <v>0</v>
      </c>
      <c r="AH209" s="239">
        <v>0</v>
      </c>
      <c r="AI209" s="239">
        <v>0</v>
      </c>
      <c r="AJ209" s="240">
        <v>9233</v>
      </c>
    </row>
    <row r="210" spans="1:36" ht="20.25" customHeight="1">
      <c r="A210" s="83"/>
      <c r="B210" s="83"/>
      <c r="D210"/>
      <c r="E210" s="216">
        <v>54.3</v>
      </c>
      <c r="F210">
        <v>108</v>
      </c>
      <c r="G210">
        <v>2.64</v>
      </c>
      <c r="H210">
        <v>4800</v>
      </c>
      <c r="I210" s="222">
        <v>0</v>
      </c>
      <c r="J210" s="222">
        <v>1</v>
      </c>
      <c r="K210" s="219">
        <v>1</v>
      </c>
      <c r="L210" s="219">
        <v>0</v>
      </c>
      <c r="M210" s="219">
        <v>0</v>
      </c>
      <c r="N210" s="83">
        <v>11259</v>
      </c>
      <c r="O210" s="83"/>
      <c r="P210" s="83"/>
      <c r="Q210" s="83"/>
      <c r="R210" s="83"/>
      <c r="S210" s="83"/>
      <c r="T210" s="83"/>
      <c r="AB210" s="188">
        <v>54.3</v>
      </c>
      <c r="AC210" s="189">
        <v>108</v>
      </c>
      <c r="AD210" s="189">
        <v>2.64</v>
      </c>
      <c r="AE210" s="189">
        <v>4800</v>
      </c>
      <c r="AF210" s="235">
        <v>0</v>
      </c>
      <c r="AG210" s="235">
        <v>1</v>
      </c>
      <c r="AH210" s="241">
        <v>0</v>
      </c>
      <c r="AI210" s="241">
        <v>0</v>
      </c>
      <c r="AJ210" s="242">
        <v>11259</v>
      </c>
    </row>
    <row r="211" spans="1:36" ht="20.25" customHeight="1">
      <c r="A211" s="83"/>
      <c r="B211" s="83"/>
      <c r="D211"/>
      <c r="E211" s="216">
        <v>53</v>
      </c>
      <c r="F211">
        <v>108</v>
      </c>
      <c r="G211">
        <v>2.64</v>
      </c>
      <c r="H211">
        <v>4800</v>
      </c>
      <c r="I211" s="222">
        <v>0</v>
      </c>
      <c r="J211" s="222">
        <v>0</v>
      </c>
      <c r="K211" s="219">
        <v>0</v>
      </c>
      <c r="L211" s="219">
        <v>1</v>
      </c>
      <c r="M211" s="219">
        <v>0</v>
      </c>
      <c r="N211" s="83">
        <v>7463</v>
      </c>
      <c r="O211" s="83"/>
      <c r="P211" s="83"/>
      <c r="Q211" s="83"/>
      <c r="R211" s="83"/>
      <c r="S211" s="83"/>
      <c r="T211" s="83"/>
      <c r="AB211" s="186">
        <v>53</v>
      </c>
      <c r="AC211" s="187">
        <v>108</v>
      </c>
      <c r="AD211" s="187">
        <v>2.64</v>
      </c>
      <c r="AE211" s="187">
        <v>4800</v>
      </c>
      <c r="AF211" s="234">
        <v>0</v>
      </c>
      <c r="AG211" s="234">
        <v>0</v>
      </c>
      <c r="AH211" s="239">
        <v>1</v>
      </c>
      <c r="AI211" s="239">
        <v>0</v>
      </c>
      <c r="AJ211" s="240">
        <v>7463</v>
      </c>
    </row>
    <row r="212" spans="1:36" ht="20.25" customHeight="1">
      <c r="A212" s="83"/>
      <c r="B212" s="83"/>
      <c r="D212"/>
      <c r="E212" s="216">
        <v>53</v>
      </c>
      <c r="F212">
        <v>108</v>
      </c>
      <c r="G212">
        <v>2.64</v>
      </c>
      <c r="H212">
        <v>5200</v>
      </c>
      <c r="I212" s="222">
        <v>0</v>
      </c>
      <c r="J212" s="222">
        <v>0</v>
      </c>
      <c r="K212" s="219">
        <v>0</v>
      </c>
      <c r="L212" s="219">
        <v>1</v>
      </c>
      <c r="M212" s="219">
        <v>0</v>
      </c>
      <c r="N212" s="83">
        <v>10198</v>
      </c>
      <c r="O212" s="83"/>
      <c r="P212" s="83"/>
      <c r="Q212" s="83"/>
      <c r="R212" s="83"/>
      <c r="S212" s="83"/>
      <c r="T212" s="83"/>
      <c r="AB212" s="188">
        <v>53</v>
      </c>
      <c r="AC212" s="189">
        <v>108</v>
      </c>
      <c r="AD212" s="189">
        <v>2.64</v>
      </c>
      <c r="AE212" s="189">
        <v>5200</v>
      </c>
      <c r="AF212" s="235">
        <v>0</v>
      </c>
      <c r="AG212" s="235">
        <v>0</v>
      </c>
      <c r="AH212" s="241">
        <v>1</v>
      </c>
      <c r="AI212" s="241">
        <v>0</v>
      </c>
      <c r="AJ212" s="242">
        <v>10198</v>
      </c>
    </row>
    <row r="213" spans="1:36" ht="20.25" customHeight="1">
      <c r="A213" s="83"/>
      <c r="B213" s="83"/>
      <c r="D213"/>
      <c r="E213" s="216">
        <v>54.9</v>
      </c>
      <c r="F213">
        <v>108</v>
      </c>
      <c r="G213">
        <v>2.64</v>
      </c>
      <c r="H213">
        <v>4800</v>
      </c>
      <c r="I213" s="222">
        <v>0</v>
      </c>
      <c r="J213" s="222">
        <v>0</v>
      </c>
      <c r="K213" s="219">
        <v>1</v>
      </c>
      <c r="L213" s="219">
        <v>0</v>
      </c>
      <c r="M213" s="219">
        <v>0</v>
      </c>
      <c r="N213" s="83">
        <v>8013</v>
      </c>
      <c r="O213" s="83"/>
      <c r="P213" s="83"/>
      <c r="Q213" s="83"/>
      <c r="R213" s="83"/>
      <c r="S213" s="83"/>
      <c r="T213" s="83"/>
      <c r="AB213" s="186">
        <v>54.9</v>
      </c>
      <c r="AC213" s="187">
        <v>108</v>
      </c>
      <c r="AD213" s="187">
        <v>2.64</v>
      </c>
      <c r="AE213" s="187">
        <v>4800</v>
      </c>
      <c r="AF213" s="234">
        <v>0</v>
      </c>
      <c r="AG213" s="234">
        <v>0</v>
      </c>
      <c r="AH213" s="239">
        <v>0</v>
      </c>
      <c r="AI213" s="239">
        <v>0</v>
      </c>
      <c r="AJ213" s="240">
        <v>8013</v>
      </c>
    </row>
    <row r="214" spans="1:36" ht="20.25" customHeight="1">
      <c r="A214" s="83"/>
      <c r="B214" s="83"/>
      <c r="D214"/>
      <c r="E214" s="216">
        <v>54.9</v>
      </c>
      <c r="F214">
        <v>108</v>
      </c>
      <c r="G214">
        <v>2.64</v>
      </c>
      <c r="H214">
        <v>4800</v>
      </c>
      <c r="I214" s="222">
        <v>0</v>
      </c>
      <c r="J214" s="222">
        <v>1</v>
      </c>
      <c r="K214" s="219">
        <v>1</v>
      </c>
      <c r="L214" s="219">
        <v>0</v>
      </c>
      <c r="M214" s="219">
        <v>0</v>
      </c>
      <c r="N214" s="83">
        <v>11694</v>
      </c>
      <c r="O214" s="83"/>
      <c r="P214" s="83"/>
      <c r="Q214" s="83"/>
      <c r="R214" s="83"/>
      <c r="S214" s="83"/>
      <c r="T214" s="83"/>
      <c r="AB214" s="188">
        <v>54.9</v>
      </c>
      <c r="AC214" s="189">
        <v>108</v>
      </c>
      <c r="AD214" s="189">
        <v>2.64</v>
      </c>
      <c r="AE214" s="189">
        <v>4800</v>
      </c>
      <c r="AF214" s="235">
        <v>0</v>
      </c>
      <c r="AG214" s="235">
        <v>1</v>
      </c>
      <c r="AH214" s="241">
        <v>0</v>
      </c>
      <c r="AI214" s="241">
        <v>0</v>
      </c>
      <c r="AJ214" s="242">
        <v>11694</v>
      </c>
    </row>
    <row r="215" spans="1:36" ht="20.25" customHeight="1">
      <c r="A215" s="83"/>
      <c r="B215" s="83"/>
      <c r="D215"/>
      <c r="E215" s="216">
        <v>54.5</v>
      </c>
      <c r="F215">
        <v>92</v>
      </c>
      <c r="G215">
        <v>3.03</v>
      </c>
      <c r="H215">
        <v>4800</v>
      </c>
      <c r="I215" s="222">
        <v>0</v>
      </c>
      <c r="J215" s="222">
        <v>0</v>
      </c>
      <c r="K215" s="219">
        <v>0</v>
      </c>
      <c r="L215" s="219">
        <v>1</v>
      </c>
      <c r="M215" s="219">
        <v>0</v>
      </c>
      <c r="N215" s="83">
        <v>5348</v>
      </c>
      <c r="O215" s="83"/>
      <c r="P215" s="83"/>
      <c r="Q215" s="83"/>
      <c r="R215" s="83"/>
      <c r="S215" s="83"/>
      <c r="T215" s="83"/>
      <c r="AB215" s="186">
        <v>54.5</v>
      </c>
      <c r="AC215" s="187">
        <v>92</v>
      </c>
      <c r="AD215" s="187">
        <v>3.03</v>
      </c>
      <c r="AE215" s="187">
        <v>4800</v>
      </c>
      <c r="AF215" s="234">
        <v>0</v>
      </c>
      <c r="AG215" s="234">
        <v>0</v>
      </c>
      <c r="AH215" s="239">
        <v>1</v>
      </c>
      <c r="AI215" s="239">
        <v>0</v>
      </c>
      <c r="AJ215" s="240">
        <v>5348</v>
      </c>
    </row>
    <row r="216" spans="1:36" ht="20.25" customHeight="1">
      <c r="A216" s="83"/>
      <c r="B216" s="83"/>
      <c r="D216"/>
      <c r="E216" s="216">
        <v>54.5</v>
      </c>
      <c r="F216">
        <v>92</v>
      </c>
      <c r="G216">
        <v>3.03</v>
      </c>
      <c r="H216">
        <v>4800</v>
      </c>
      <c r="I216" s="222">
        <v>0</v>
      </c>
      <c r="J216" s="222">
        <v>0</v>
      </c>
      <c r="K216" s="219">
        <v>0</v>
      </c>
      <c r="L216" s="219">
        <v>1</v>
      </c>
      <c r="M216" s="219">
        <v>0</v>
      </c>
      <c r="N216" s="83">
        <v>6338</v>
      </c>
      <c r="O216" s="83"/>
      <c r="P216" s="83"/>
      <c r="Q216" s="83"/>
      <c r="R216" s="83"/>
      <c r="S216" s="83"/>
      <c r="T216" s="83"/>
      <c r="AB216" s="188">
        <v>54.5</v>
      </c>
      <c r="AC216" s="189">
        <v>92</v>
      </c>
      <c r="AD216" s="189">
        <v>3.03</v>
      </c>
      <c r="AE216" s="189">
        <v>4800</v>
      </c>
      <c r="AF216" s="235">
        <v>0</v>
      </c>
      <c r="AG216" s="235">
        <v>0</v>
      </c>
      <c r="AH216" s="241">
        <v>1</v>
      </c>
      <c r="AI216" s="241">
        <v>0</v>
      </c>
      <c r="AJ216" s="242">
        <v>6338</v>
      </c>
    </row>
    <row r="217" spans="1:36" ht="20.25" customHeight="1">
      <c r="A217" s="83"/>
      <c r="B217" s="83"/>
      <c r="D217"/>
      <c r="E217" s="216">
        <v>54.5</v>
      </c>
      <c r="F217">
        <v>92</v>
      </c>
      <c r="G217">
        <v>3.03</v>
      </c>
      <c r="H217">
        <v>4800</v>
      </c>
      <c r="I217" s="222">
        <v>0</v>
      </c>
      <c r="J217" s="222">
        <v>0</v>
      </c>
      <c r="K217" s="219">
        <v>0</v>
      </c>
      <c r="L217" s="219">
        <v>1</v>
      </c>
      <c r="M217" s="219">
        <v>0</v>
      </c>
      <c r="N217" s="83">
        <v>6488</v>
      </c>
      <c r="O217" s="83"/>
      <c r="P217" s="83"/>
      <c r="Q217" s="83"/>
      <c r="R217" s="83"/>
      <c r="S217" s="83"/>
      <c r="T217" s="83"/>
      <c r="AB217" s="186">
        <v>54.5</v>
      </c>
      <c r="AC217" s="187">
        <v>92</v>
      </c>
      <c r="AD217" s="187">
        <v>3.03</v>
      </c>
      <c r="AE217" s="187">
        <v>4800</v>
      </c>
      <c r="AF217" s="234">
        <v>0</v>
      </c>
      <c r="AG217" s="234">
        <v>0</v>
      </c>
      <c r="AH217" s="239">
        <v>1</v>
      </c>
      <c r="AI217" s="239">
        <v>0</v>
      </c>
      <c r="AJ217" s="240">
        <v>6488</v>
      </c>
    </row>
    <row r="218" spans="1:36" ht="20.25" customHeight="1">
      <c r="A218" s="83"/>
      <c r="B218" s="83"/>
      <c r="D218"/>
      <c r="E218" s="216">
        <v>59.1</v>
      </c>
      <c r="F218">
        <v>92</v>
      </c>
      <c r="G218">
        <v>3.03</v>
      </c>
      <c r="H218">
        <v>4800</v>
      </c>
      <c r="I218" s="222">
        <v>0</v>
      </c>
      <c r="J218" s="222">
        <v>0</v>
      </c>
      <c r="K218" s="219">
        <v>0</v>
      </c>
      <c r="L218" s="219">
        <v>1</v>
      </c>
      <c r="M218" s="219">
        <v>0</v>
      </c>
      <c r="N218" s="83">
        <v>6918</v>
      </c>
      <c r="O218" s="83"/>
      <c r="P218" s="83"/>
      <c r="Q218" s="83"/>
      <c r="R218" s="83"/>
      <c r="S218" s="83"/>
      <c r="T218" s="83"/>
      <c r="AB218" s="188">
        <v>59.1</v>
      </c>
      <c r="AC218" s="189">
        <v>92</v>
      </c>
      <c r="AD218" s="189">
        <v>3.03</v>
      </c>
      <c r="AE218" s="189">
        <v>4800</v>
      </c>
      <c r="AF218" s="235">
        <v>0</v>
      </c>
      <c r="AG218" s="235">
        <v>0</v>
      </c>
      <c r="AH218" s="241">
        <v>1</v>
      </c>
      <c r="AI218" s="241">
        <v>0</v>
      </c>
      <c r="AJ218" s="242">
        <v>6918</v>
      </c>
    </row>
    <row r="219" spans="1:36" ht="20.25" customHeight="1">
      <c r="A219" s="83"/>
      <c r="B219" s="83"/>
      <c r="D219"/>
      <c r="E219" s="216">
        <v>59.1</v>
      </c>
      <c r="F219">
        <v>92</v>
      </c>
      <c r="G219">
        <v>3.03</v>
      </c>
      <c r="H219">
        <v>4800</v>
      </c>
      <c r="I219" s="222">
        <v>0</v>
      </c>
      <c r="J219" s="222">
        <v>0</v>
      </c>
      <c r="K219" s="219">
        <v>1</v>
      </c>
      <c r="L219" s="219">
        <v>0</v>
      </c>
      <c r="M219" s="219">
        <v>0</v>
      </c>
      <c r="N219" s="83">
        <v>7898</v>
      </c>
      <c r="O219" s="83"/>
      <c r="P219" s="83"/>
      <c r="Q219" s="83"/>
      <c r="R219" s="83"/>
      <c r="S219" s="83"/>
      <c r="T219" s="83"/>
      <c r="AB219" s="186">
        <v>59.1</v>
      </c>
      <c r="AC219" s="187">
        <v>92</v>
      </c>
      <c r="AD219" s="187">
        <v>3.03</v>
      </c>
      <c r="AE219" s="187">
        <v>4800</v>
      </c>
      <c r="AF219" s="234">
        <v>0</v>
      </c>
      <c r="AG219" s="234">
        <v>0</v>
      </c>
      <c r="AH219" s="239">
        <v>0</v>
      </c>
      <c r="AI219" s="239">
        <v>0</v>
      </c>
      <c r="AJ219" s="240">
        <v>7898</v>
      </c>
    </row>
    <row r="220" spans="1:36" ht="20.25" customHeight="1">
      <c r="A220" s="83"/>
      <c r="B220" s="83"/>
      <c r="D220"/>
      <c r="E220" s="216">
        <v>59.1</v>
      </c>
      <c r="F220">
        <v>92</v>
      </c>
      <c r="G220">
        <v>3.03</v>
      </c>
      <c r="H220">
        <v>4800</v>
      </c>
      <c r="I220" s="222">
        <v>0</v>
      </c>
      <c r="J220" s="222">
        <v>0</v>
      </c>
      <c r="K220" s="219">
        <v>1</v>
      </c>
      <c r="L220" s="219">
        <v>0</v>
      </c>
      <c r="M220" s="219">
        <v>0</v>
      </c>
      <c r="N220" s="83">
        <v>8778</v>
      </c>
      <c r="O220" s="83"/>
      <c r="P220" s="83"/>
      <c r="Q220" s="83"/>
      <c r="R220" s="83"/>
      <c r="S220" s="83"/>
      <c r="T220" s="83"/>
      <c r="AB220" s="188">
        <v>59.1</v>
      </c>
      <c r="AC220" s="189">
        <v>92</v>
      </c>
      <c r="AD220" s="189">
        <v>3.03</v>
      </c>
      <c r="AE220" s="189">
        <v>4800</v>
      </c>
      <c r="AF220" s="235">
        <v>0</v>
      </c>
      <c r="AG220" s="235">
        <v>0</v>
      </c>
      <c r="AH220" s="241">
        <v>0</v>
      </c>
      <c r="AI220" s="241">
        <v>0</v>
      </c>
      <c r="AJ220" s="242">
        <v>8778</v>
      </c>
    </row>
    <row r="221" spans="1:36" ht="20.25" customHeight="1">
      <c r="A221" s="83"/>
      <c r="B221" s="83"/>
      <c r="D221"/>
      <c r="E221" s="216">
        <v>53</v>
      </c>
      <c r="F221">
        <v>98</v>
      </c>
      <c r="G221">
        <v>3.03</v>
      </c>
      <c r="H221">
        <v>4800</v>
      </c>
      <c r="I221" s="222">
        <v>0</v>
      </c>
      <c r="J221" s="222">
        <v>0</v>
      </c>
      <c r="K221" s="219">
        <v>0</v>
      </c>
      <c r="L221" s="219">
        <v>1</v>
      </c>
      <c r="M221" s="219">
        <v>0</v>
      </c>
      <c r="N221" s="83">
        <v>6938</v>
      </c>
      <c r="O221" s="83"/>
      <c r="P221" s="83"/>
      <c r="Q221" s="83"/>
      <c r="R221" s="83"/>
      <c r="S221" s="83"/>
      <c r="T221" s="83"/>
      <c r="AB221" s="186">
        <v>53</v>
      </c>
      <c r="AC221" s="187">
        <v>98</v>
      </c>
      <c r="AD221" s="187">
        <v>3.03</v>
      </c>
      <c r="AE221" s="187">
        <v>4800</v>
      </c>
      <c r="AF221" s="234">
        <v>0</v>
      </c>
      <c r="AG221" s="234">
        <v>0</v>
      </c>
      <c r="AH221" s="239">
        <v>1</v>
      </c>
      <c r="AI221" s="239">
        <v>0</v>
      </c>
      <c r="AJ221" s="240">
        <v>6938</v>
      </c>
    </row>
    <row r="222" spans="1:36" ht="20.25" customHeight="1">
      <c r="A222" s="83"/>
      <c r="B222" s="83"/>
      <c r="D222"/>
      <c r="E222" s="216">
        <v>52.8</v>
      </c>
      <c r="F222">
        <v>98</v>
      </c>
      <c r="G222">
        <v>3.03</v>
      </c>
      <c r="H222">
        <v>4800</v>
      </c>
      <c r="I222" s="222">
        <v>0</v>
      </c>
      <c r="J222" s="222">
        <v>0</v>
      </c>
      <c r="K222" s="219">
        <v>0</v>
      </c>
      <c r="L222" s="219">
        <v>1</v>
      </c>
      <c r="M222" s="219">
        <v>0</v>
      </c>
      <c r="N222" s="83">
        <v>7198</v>
      </c>
      <c r="O222" s="83"/>
      <c r="P222" s="83"/>
      <c r="Q222" s="83"/>
      <c r="R222" s="83"/>
      <c r="S222" s="83"/>
      <c r="T222" s="83"/>
      <c r="AB222" s="188">
        <v>52.8</v>
      </c>
      <c r="AC222" s="189">
        <v>98</v>
      </c>
      <c r="AD222" s="189">
        <v>3.03</v>
      </c>
      <c r="AE222" s="189">
        <v>4800</v>
      </c>
      <c r="AF222" s="235">
        <v>0</v>
      </c>
      <c r="AG222" s="235">
        <v>0</v>
      </c>
      <c r="AH222" s="241">
        <v>1</v>
      </c>
      <c r="AI222" s="241">
        <v>0</v>
      </c>
      <c r="AJ222" s="242">
        <v>7198</v>
      </c>
    </row>
    <row r="223" spans="1:36" ht="20.25" customHeight="1">
      <c r="A223" s="83"/>
      <c r="B223" s="83"/>
      <c r="D223"/>
      <c r="E223" s="216">
        <v>53</v>
      </c>
      <c r="F223">
        <v>110</v>
      </c>
      <c r="G223">
        <v>3.35</v>
      </c>
      <c r="H223">
        <v>4500</v>
      </c>
      <c r="I223" s="222">
        <v>1</v>
      </c>
      <c r="J223" s="222">
        <v>0</v>
      </c>
      <c r="K223" s="219">
        <v>0</v>
      </c>
      <c r="L223" s="219">
        <v>1</v>
      </c>
      <c r="M223" s="219">
        <v>0</v>
      </c>
      <c r="N223" s="83">
        <v>7898</v>
      </c>
      <c r="O223" s="83"/>
      <c r="P223" s="83"/>
      <c r="Q223" s="83"/>
      <c r="R223" s="83"/>
      <c r="S223" s="83"/>
      <c r="T223" s="83"/>
      <c r="AB223" s="186">
        <v>53</v>
      </c>
      <c r="AC223" s="187">
        <v>110</v>
      </c>
      <c r="AD223" s="187">
        <v>3.35</v>
      </c>
      <c r="AE223" s="187">
        <v>4500</v>
      </c>
      <c r="AF223" s="234">
        <v>1</v>
      </c>
      <c r="AG223" s="234">
        <v>0</v>
      </c>
      <c r="AH223" s="239">
        <v>1</v>
      </c>
      <c r="AI223" s="239">
        <v>0</v>
      </c>
      <c r="AJ223" s="240">
        <v>7898</v>
      </c>
    </row>
    <row r="224" spans="1:36" ht="20.25" customHeight="1">
      <c r="A224" s="83"/>
      <c r="B224" s="83"/>
      <c r="D224"/>
      <c r="E224" s="216">
        <v>52.8</v>
      </c>
      <c r="F224">
        <v>110</v>
      </c>
      <c r="G224">
        <v>3.35</v>
      </c>
      <c r="H224">
        <v>4500</v>
      </c>
      <c r="I224" s="222">
        <v>1</v>
      </c>
      <c r="J224" s="222">
        <v>0</v>
      </c>
      <c r="K224" s="219">
        <v>0</v>
      </c>
      <c r="L224" s="219">
        <v>1</v>
      </c>
      <c r="M224" s="219">
        <v>0</v>
      </c>
      <c r="N224" s="83">
        <v>7788</v>
      </c>
      <c r="O224" s="83"/>
      <c r="P224" s="83"/>
      <c r="Q224" s="83"/>
      <c r="R224" s="83"/>
      <c r="S224" s="83"/>
      <c r="T224" s="83"/>
      <c r="AB224" s="188">
        <v>52.8</v>
      </c>
      <c r="AC224" s="189">
        <v>110</v>
      </c>
      <c r="AD224" s="189">
        <v>3.35</v>
      </c>
      <c r="AE224" s="189">
        <v>4500</v>
      </c>
      <c r="AF224" s="235">
        <v>1</v>
      </c>
      <c r="AG224" s="235">
        <v>0</v>
      </c>
      <c r="AH224" s="241">
        <v>1</v>
      </c>
      <c r="AI224" s="241">
        <v>0</v>
      </c>
      <c r="AJ224" s="242">
        <v>7788</v>
      </c>
    </row>
    <row r="225" spans="1:36" ht="20.25" customHeight="1">
      <c r="A225" s="83"/>
      <c r="B225" s="83"/>
      <c r="D225"/>
      <c r="E225" s="216">
        <v>53</v>
      </c>
      <c r="F225">
        <v>98</v>
      </c>
      <c r="G225">
        <v>3.03</v>
      </c>
      <c r="H225">
        <v>4800</v>
      </c>
      <c r="I225" s="222">
        <v>0</v>
      </c>
      <c r="J225" s="222">
        <v>0</v>
      </c>
      <c r="K225" s="219">
        <v>0</v>
      </c>
      <c r="L225" s="219">
        <v>1</v>
      </c>
      <c r="M225" s="219">
        <v>0</v>
      </c>
      <c r="N225" s="83">
        <v>7738</v>
      </c>
      <c r="O225" s="83"/>
      <c r="P225" s="83"/>
      <c r="Q225" s="83"/>
      <c r="R225" s="83"/>
      <c r="S225" s="83"/>
      <c r="T225" s="83"/>
      <c r="AB225" s="186">
        <v>53</v>
      </c>
      <c r="AC225" s="187">
        <v>98</v>
      </c>
      <c r="AD225" s="187">
        <v>3.03</v>
      </c>
      <c r="AE225" s="187">
        <v>4800</v>
      </c>
      <c r="AF225" s="234">
        <v>0</v>
      </c>
      <c r="AG225" s="234">
        <v>0</v>
      </c>
      <c r="AH225" s="239">
        <v>1</v>
      </c>
      <c r="AI225" s="239">
        <v>0</v>
      </c>
      <c r="AJ225" s="240">
        <v>7738</v>
      </c>
    </row>
    <row r="226" spans="1:36" ht="20.25" customHeight="1">
      <c r="A226" s="83"/>
      <c r="B226" s="83"/>
      <c r="D226"/>
      <c r="E226" s="216">
        <v>52.8</v>
      </c>
      <c r="F226">
        <v>98</v>
      </c>
      <c r="G226">
        <v>3.03</v>
      </c>
      <c r="H226">
        <v>4800</v>
      </c>
      <c r="I226" s="222">
        <v>0</v>
      </c>
      <c r="J226" s="222">
        <v>0</v>
      </c>
      <c r="K226" s="219">
        <v>0</v>
      </c>
      <c r="L226" s="219">
        <v>1</v>
      </c>
      <c r="M226" s="219">
        <v>0</v>
      </c>
      <c r="N226" s="83">
        <v>8358</v>
      </c>
      <c r="O226" s="83"/>
      <c r="P226" s="83"/>
      <c r="Q226" s="83"/>
      <c r="R226" s="83"/>
      <c r="S226" s="83"/>
      <c r="T226" s="83"/>
      <c r="AB226" s="188">
        <v>52.8</v>
      </c>
      <c r="AC226" s="189">
        <v>98</v>
      </c>
      <c r="AD226" s="189">
        <v>3.03</v>
      </c>
      <c r="AE226" s="189">
        <v>4800</v>
      </c>
      <c r="AF226" s="235">
        <v>0</v>
      </c>
      <c r="AG226" s="235">
        <v>0</v>
      </c>
      <c r="AH226" s="241">
        <v>1</v>
      </c>
      <c r="AI226" s="241">
        <v>0</v>
      </c>
      <c r="AJ226" s="242">
        <v>8358</v>
      </c>
    </row>
    <row r="227" spans="1:36" ht="20.25" customHeight="1">
      <c r="A227" s="83"/>
      <c r="B227" s="83"/>
      <c r="D227"/>
      <c r="E227" s="216">
        <v>52.8</v>
      </c>
      <c r="F227">
        <v>98</v>
      </c>
      <c r="G227">
        <v>3.03</v>
      </c>
      <c r="H227">
        <v>4800</v>
      </c>
      <c r="I227" s="222">
        <v>0</v>
      </c>
      <c r="J227" s="222">
        <v>0</v>
      </c>
      <c r="K227" s="219">
        <v>0</v>
      </c>
      <c r="L227" s="219">
        <v>1</v>
      </c>
      <c r="M227" s="219">
        <v>0</v>
      </c>
      <c r="N227" s="83">
        <v>9258</v>
      </c>
      <c r="O227" s="83"/>
      <c r="P227" s="83"/>
      <c r="Q227" s="83"/>
      <c r="R227" s="83"/>
      <c r="S227" s="83"/>
      <c r="T227" s="83"/>
      <c r="AB227" s="186">
        <v>52.8</v>
      </c>
      <c r="AC227" s="187">
        <v>98</v>
      </c>
      <c r="AD227" s="187">
        <v>3.03</v>
      </c>
      <c r="AE227" s="187">
        <v>4800</v>
      </c>
      <c r="AF227" s="234">
        <v>0</v>
      </c>
      <c r="AG227" s="234">
        <v>0</v>
      </c>
      <c r="AH227" s="239">
        <v>1</v>
      </c>
      <c r="AI227" s="239">
        <v>0</v>
      </c>
      <c r="AJ227" s="240">
        <v>9258</v>
      </c>
    </row>
    <row r="228" spans="1:36" ht="20.25" customHeight="1">
      <c r="A228" s="83"/>
      <c r="B228" s="83"/>
      <c r="D228"/>
      <c r="E228" s="216">
        <v>52.6</v>
      </c>
      <c r="F228">
        <v>98</v>
      </c>
      <c r="G228">
        <v>3.03</v>
      </c>
      <c r="H228">
        <v>4800</v>
      </c>
      <c r="I228" s="222">
        <v>0</v>
      </c>
      <c r="J228" s="222">
        <v>0</v>
      </c>
      <c r="K228" s="219">
        <v>0</v>
      </c>
      <c r="L228" s="219">
        <v>0</v>
      </c>
      <c r="M228" s="219">
        <v>0</v>
      </c>
      <c r="N228" s="83">
        <v>8058</v>
      </c>
      <c r="O228" s="83"/>
      <c r="P228" s="83"/>
      <c r="Q228" s="83"/>
      <c r="R228" s="83"/>
      <c r="S228" s="83"/>
      <c r="T228" s="83"/>
      <c r="AB228" s="188">
        <v>52.6</v>
      </c>
      <c r="AC228" s="189">
        <v>98</v>
      </c>
      <c r="AD228" s="189">
        <v>3.03</v>
      </c>
      <c r="AE228" s="189">
        <v>4800</v>
      </c>
      <c r="AF228" s="235">
        <v>0</v>
      </c>
      <c r="AG228" s="235">
        <v>0</v>
      </c>
      <c r="AH228" s="241">
        <v>0</v>
      </c>
      <c r="AI228" s="241">
        <v>0</v>
      </c>
      <c r="AJ228" s="242">
        <v>8058</v>
      </c>
    </row>
    <row r="229" spans="1:36" ht="20.25" customHeight="1">
      <c r="A229" s="83"/>
      <c r="B229" s="83"/>
      <c r="D229"/>
      <c r="E229" s="216">
        <v>52.6</v>
      </c>
      <c r="F229">
        <v>98</v>
      </c>
      <c r="G229">
        <v>3.03</v>
      </c>
      <c r="H229">
        <v>4800</v>
      </c>
      <c r="I229" s="222">
        <v>0</v>
      </c>
      <c r="J229" s="222">
        <v>0</v>
      </c>
      <c r="K229" s="219">
        <v>0</v>
      </c>
      <c r="L229" s="219">
        <v>0</v>
      </c>
      <c r="M229" s="219">
        <v>0</v>
      </c>
      <c r="N229" s="83">
        <v>8238</v>
      </c>
      <c r="O229" s="83"/>
      <c r="P229" s="83"/>
      <c r="Q229" s="83"/>
      <c r="R229" s="83"/>
      <c r="S229" s="83"/>
      <c r="T229" s="83"/>
      <c r="AB229" s="186">
        <v>52.6</v>
      </c>
      <c r="AC229" s="187">
        <v>98</v>
      </c>
      <c r="AD229" s="187">
        <v>3.03</v>
      </c>
      <c r="AE229" s="187">
        <v>4800</v>
      </c>
      <c r="AF229" s="234">
        <v>0</v>
      </c>
      <c r="AG229" s="234">
        <v>0</v>
      </c>
      <c r="AH229" s="239">
        <v>0</v>
      </c>
      <c r="AI229" s="239">
        <v>0</v>
      </c>
      <c r="AJ229" s="240">
        <v>8238</v>
      </c>
    </row>
    <row r="230" spans="1:36" ht="20.25" customHeight="1">
      <c r="A230" s="83"/>
      <c r="B230" s="83"/>
      <c r="D230"/>
      <c r="E230" s="216">
        <v>52.6</v>
      </c>
      <c r="F230">
        <v>98</v>
      </c>
      <c r="G230">
        <v>3.08</v>
      </c>
      <c r="H230">
        <v>6600</v>
      </c>
      <c r="I230" s="222">
        <v>0</v>
      </c>
      <c r="J230" s="222">
        <v>0</v>
      </c>
      <c r="K230" s="219">
        <v>0</v>
      </c>
      <c r="L230" s="219">
        <v>0</v>
      </c>
      <c r="M230" s="219">
        <v>0</v>
      </c>
      <c r="N230" s="83">
        <v>9298</v>
      </c>
      <c r="O230" s="83"/>
      <c r="P230" s="83"/>
      <c r="Q230" s="83"/>
      <c r="R230" s="83"/>
      <c r="S230" s="83"/>
      <c r="T230" s="83"/>
      <c r="AB230" s="188">
        <v>52.6</v>
      </c>
      <c r="AC230" s="189">
        <v>98</v>
      </c>
      <c r="AD230" s="189">
        <v>3.08</v>
      </c>
      <c r="AE230" s="189">
        <v>6600</v>
      </c>
      <c r="AF230" s="235">
        <v>0</v>
      </c>
      <c r="AG230" s="235">
        <v>0</v>
      </c>
      <c r="AH230" s="241">
        <v>0</v>
      </c>
      <c r="AI230" s="241">
        <v>0</v>
      </c>
      <c r="AJ230" s="242">
        <v>9298</v>
      </c>
    </row>
    <row r="231" spans="1:36" ht="20.25" customHeight="1">
      <c r="A231" s="83"/>
      <c r="B231" s="83"/>
      <c r="D231"/>
      <c r="E231" s="216">
        <v>52.6</v>
      </c>
      <c r="F231">
        <v>98</v>
      </c>
      <c r="G231">
        <v>3.08</v>
      </c>
      <c r="H231">
        <v>6600</v>
      </c>
      <c r="I231" s="222">
        <v>0</v>
      </c>
      <c r="J231" s="222">
        <v>0</v>
      </c>
      <c r="K231" s="219">
        <v>0</v>
      </c>
      <c r="L231" s="219">
        <v>0</v>
      </c>
      <c r="M231" s="219">
        <v>0</v>
      </c>
      <c r="N231" s="83">
        <v>9538</v>
      </c>
      <c r="O231" s="83"/>
      <c r="P231" s="83"/>
      <c r="Q231" s="83"/>
      <c r="R231" s="83"/>
      <c r="S231" s="83"/>
      <c r="T231" s="83"/>
      <c r="AB231" s="186">
        <v>52.6</v>
      </c>
      <c r="AC231" s="187">
        <v>98</v>
      </c>
      <c r="AD231" s="187">
        <v>3.08</v>
      </c>
      <c r="AE231" s="187">
        <v>6600</v>
      </c>
      <c r="AF231" s="234">
        <v>0</v>
      </c>
      <c r="AG231" s="234">
        <v>0</v>
      </c>
      <c r="AH231" s="239">
        <v>0</v>
      </c>
      <c r="AI231" s="239">
        <v>0</v>
      </c>
      <c r="AJ231" s="240">
        <v>9538</v>
      </c>
    </row>
    <row r="232" spans="1:36" ht="20.25" customHeight="1">
      <c r="A232" s="83"/>
      <c r="B232" s="83"/>
      <c r="D232"/>
      <c r="E232" s="216">
        <v>52</v>
      </c>
      <c r="F232">
        <v>146</v>
      </c>
      <c r="G232">
        <v>3.5</v>
      </c>
      <c r="H232">
        <v>4800</v>
      </c>
      <c r="I232" s="222">
        <v>0</v>
      </c>
      <c r="J232" s="222">
        <v>0</v>
      </c>
      <c r="K232" s="219">
        <v>0</v>
      </c>
      <c r="L232" s="219">
        <v>0</v>
      </c>
      <c r="M232" s="219">
        <v>0</v>
      </c>
      <c r="N232" s="83">
        <v>8449</v>
      </c>
      <c r="O232" s="83"/>
      <c r="P232" s="83"/>
      <c r="Q232" s="83"/>
      <c r="R232" s="83"/>
      <c r="S232" s="83"/>
      <c r="T232" s="83"/>
      <c r="AB232" s="188">
        <v>52</v>
      </c>
      <c r="AC232" s="189">
        <v>146</v>
      </c>
      <c r="AD232" s="189">
        <v>3.5</v>
      </c>
      <c r="AE232" s="189">
        <v>4800</v>
      </c>
      <c r="AF232" s="235">
        <v>0</v>
      </c>
      <c r="AG232" s="235">
        <v>0</v>
      </c>
      <c r="AH232" s="241">
        <v>0</v>
      </c>
      <c r="AI232" s="241">
        <v>0</v>
      </c>
      <c r="AJ232" s="242">
        <v>8449</v>
      </c>
    </row>
    <row r="233" spans="1:36" ht="20.25" customHeight="1">
      <c r="A233" s="83"/>
      <c r="B233" s="66"/>
      <c r="D233"/>
      <c r="E233" s="216">
        <v>52</v>
      </c>
      <c r="F233">
        <v>146</v>
      </c>
      <c r="G233">
        <v>3.5</v>
      </c>
      <c r="H233">
        <v>4800</v>
      </c>
      <c r="I233" s="222">
        <v>0</v>
      </c>
      <c r="J233" s="222">
        <v>0</v>
      </c>
      <c r="K233" s="219">
        <v>0</v>
      </c>
      <c r="L233" s="219">
        <v>0</v>
      </c>
      <c r="M233" s="219">
        <v>0</v>
      </c>
      <c r="N233" s="66">
        <v>9639</v>
      </c>
      <c r="T233" s="83"/>
      <c r="AB233" s="186">
        <v>52</v>
      </c>
      <c r="AC233" s="187">
        <v>146</v>
      </c>
      <c r="AD233" s="187">
        <v>3.5</v>
      </c>
      <c r="AE233" s="187">
        <v>4800</v>
      </c>
      <c r="AF233" s="234">
        <v>0</v>
      </c>
      <c r="AG233" s="234">
        <v>0</v>
      </c>
      <c r="AH233" s="239">
        <v>0</v>
      </c>
      <c r="AI233" s="239">
        <v>0</v>
      </c>
      <c r="AJ233" s="245">
        <v>9639</v>
      </c>
    </row>
    <row r="234" spans="1:36" ht="20.25" customHeight="1">
      <c r="A234" s="83"/>
      <c r="B234" s="66"/>
      <c r="D234"/>
      <c r="E234" s="216">
        <v>52</v>
      </c>
      <c r="F234">
        <v>146</v>
      </c>
      <c r="G234">
        <v>3.5</v>
      </c>
      <c r="H234">
        <v>4800</v>
      </c>
      <c r="I234" s="222">
        <v>0</v>
      </c>
      <c r="J234" s="222">
        <v>0</v>
      </c>
      <c r="K234" s="219">
        <v>0</v>
      </c>
      <c r="L234" s="219">
        <v>0</v>
      </c>
      <c r="M234" s="219">
        <v>0</v>
      </c>
      <c r="N234" s="66">
        <v>9989</v>
      </c>
      <c r="T234" s="83"/>
      <c r="AB234" s="188">
        <v>52</v>
      </c>
      <c r="AC234" s="189">
        <v>146</v>
      </c>
      <c r="AD234" s="189">
        <v>3.5</v>
      </c>
      <c r="AE234" s="189">
        <v>4800</v>
      </c>
      <c r="AF234" s="235">
        <v>0</v>
      </c>
      <c r="AG234" s="235">
        <v>0</v>
      </c>
      <c r="AH234" s="241">
        <v>0</v>
      </c>
      <c r="AI234" s="241">
        <v>0</v>
      </c>
      <c r="AJ234" s="246">
        <v>9989</v>
      </c>
    </row>
    <row r="235" spans="1:36" ht="20.25" customHeight="1">
      <c r="A235" s="83"/>
      <c r="B235" s="66"/>
      <c r="D235"/>
      <c r="E235" s="216">
        <v>52</v>
      </c>
      <c r="F235">
        <v>146</v>
      </c>
      <c r="G235">
        <v>3.5</v>
      </c>
      <c r="H235">
        <v>4800</v>
      </c>
      <c r="I235" s="222">
        <v>0</v>
      </c>
      <c r="J235" s="222">
        <v>0</v>
      </c>
      <c r="K235" s="219">
        <v>0</v>
      </c>
      <c r="L235" s="219">
        <v>0</v>
      </c>
      <c r="M235" s="219">
        <v>0</v>
      </c>
      <c r="N235" s="66">
        <v>11199</v>
      </c>
      <c r="T235" s="83"/>
      <c r="AB235" s="186">
        <v>52</v>
      </c>
      <c r="AC235" s="187">
        <v>146</v>
      </c>
      <c r="AD235" s="187">
        <v>3.5</v>
      </c>
      <c r="AE235" s="187">
        <v>4800</v>
      </c>
      <c r="AF235" s="234">
        <v>0</v>
      </c>
      <c r="AG235" s="234">
        <v>0</v>
      </c>
      <c r="AH235" s="239">
        <v>0</v>
      </c>
      <c r="AI235" s="239">
        <v>0</v>
      </c>
      <c r="AJ235" s="245">
        <v>11199</v>
      </c>
    </row>
    <row r="236" spans="1:36" ht="20.25" customHeight="1">
      <c r="A236" s="83"/>
      <c r="B236" s="66"/>
      <c r="D236"/>
      <c r="E236" s="216">
        <v>52</v>
      </c>
      <c r="F236">
        <v>146</v>
      </c>
      <c r="G236">
        <v>3.5</v>
      </c>
      <c r="H236">
        <v>4800</v>
      </c>
      <c r="I236" s="222">
        <v>0</v>
      </c>
      <c r="J236" s="222">
        <v>0</v>
      </c>
      <c r="K236" s="219">
        <v>0</v>
      </c>
      <c r="L236" s="219">
        <v>0</v>
      </c>
      <c r="M236" s="219">
        <v>0</v>
      </c>
      <c r="N236" s="66">
        <v>11549</v>
      </c>
      <c r="T236" s="83"/>
      <c r="AB236" s="188">
        <v>52</v>
      </c>
      <c r="AC236" s="189">
        <v>146</v>
      </c>
      <c r="AD236" s="189">
        <v>3.5</v>
      </c>
      <c r="AE236" s="189">
        <v>4800</v>
      </c>
      <c r="AF236" s="235">
        <v>0</v>
      </c>
      <c r="AG236" s="235">
        <v>0</v>
      </c>
      <c r="AH236" s="241">
        <v>0</v>
      </c>
      <c r="AI236" s="241">
        <v>0</v>
      </c>
      <c r="AJ236" s="246">
        <v>11549</v>
      </c>
    </row>
    <row r="237" spans="1:36" ht="20.25" customHeight="1">
      <c r="A237" s="83"/>
      <c r="B237" s="66"/>
      <c r="D237"/>
      <c r="E237" s="216">
        <v>53</v>
      </c>
      <c r="F237">
        <v>146</v>
      </c>
      <c r="G237">
        <v>3.5</v>
      </c>
      <c r="H237">
        <v>4800</v>
      </c>
      <c r="I237" s="222">
        <v>0</v>
      </c>
      <c r="J237" s="222">
        <v>0</v>
      </c>
      <c r="K237" s="219">
        <v>0</v>
      </c>
      <c r="L237" s="219">
        <v>0</v>
      </c>
      <c r="M237" s="219">
        <v>0</v>
      </c>
      <c r="N237" s="66">
        <v>17669</v>
      </c>
      <c r="T237" s="83"/>
      <c r="AB237" s="186">
        <v>53</v>
      </c>
      <c r="AC237" s="187">
        <v>146</v>
      </c>
      <c r="AD237" s="187">
        <v>3.5</v>
      </c>
      <c r="AE237" s="187">
        <v>4800</v>
      </c>
      <c r="AF237" s="234">
        <v>0</v>
      </c>
      <c r="AG237" s="234">
        <v>0</v>
      </c>
      <c r="AH237" s="239">
        <v>0</v>
      </c>
      <c r="AI237" s="239">
        <v>0</v>
      </c>
      <c r="AJ237" s="245">
        <v>17669</v>
      </c>
    </row>
    <row r="238" spans="1:36" ht="20.25" customHeight="1">
      <c r="A238" s="83"/>
      <c r="B238" s="66"/>
      <c r="D238"/>
      <c r="E238" s="216">
        <v>54.9</v>
      </c>
      <c r="F238">
        <v>122</v>
      </c>
      <c r="G238">
        <v>3.54</v>
      </c>
      <c r="H238">
        <v>4200</v>
      </c>
      <c r="I238" s="222">
        <v>0</v>
      </c>
      <c r="J238" s="222">
        <v>0</v>
      </c>
      <c r="K238" s="219">
        <v>0</v>
      </c>
      <c r="L238" s="219">
        <v>1</v>
      </c>
      <c r="M238" s="219">
        <v>0</v>
      </c>
      <c r="N238" s="66">
        <v>8948</v>
      </c>
      <c r="T238" s="83"/>
      <c r="AB238" s="188">
        <v>54.9</v>
      </c>
      <c r="AC238" s="189">
        <v>122</v>
      </c>
      <c r="AD238" s="189">
        <v>3.54</v>
      </c>
      <c r="AE238" s="189">
        <v>4200</v>
      </c>
      <c r="AF238" s="235">
        <v>0</v>
      </c>
      <c r="AG238" s="235">
        <v>0</v>
      </c>
      <c r="AH238" s="241">
        <v>1</v>
      </c>
      <c r="AI238" s="241">
        <v>0</v>
      </c>
      <c r="AJ238" s="246">
        <v>8948</v>
      </c>
    </row>
    <row r="239" spans="1:36" ht="20.25" customHeight="1">
      <c r="A239" s="83"/>
      <c r="B239" s="66"/>
      <c r="D239"/>
      <c r="E239" s="216">
        <v>54.9</v>
      </c>
      <c r="F239">
        <v>110</v>
      </c>
      <c r="G239">
        <v>3.35</v>
      </c>
      <c r="H239">
        <v>4500</v>
      </c>
      <c r="I239" s="222">
        <v>1</v>
      </c>
      <c r="J239" s="222">
        <v>1</v>
      </c>
      <c r="K239" s="219">
        <v>0</v>
      </c>
      <c r="L239" s="219">
        <v>1</v>
      </c>
      <c r="M239" s="219">
        <v>0</v>
      </c>
      <c r="N239" s="66">
        <v>10698</v>
      </c>
      <c r="T239" s="83"/>
      <c r="AB239" s="186">
        <v>54.9</v>
      </c>
      <c r="AC239" s="187">
        <v>110</v>
      </c>
      <c r="AD239" s="187">
        <v>3.35</v>
      </c>
      <c r="AE239" s="187">
        <v>4500</v>
      </c>
      <c r="AF239" s="234">
        <v>1</v>
      </c>
      <c r="AG239" s="234">
        <v>1</v>
      </c>
      <c r="AH239" s="239">
        <v>1</v>
      </c>
      <c r="AI239" s="239">
        <v>0</v>
      </c>
      <c r="AJ239" s="245">
        <v>10698</v>
      </c>
    </row>
    <row r="240" spans="1:36" ht="20.25" customHeight="1">
      <c r="A240" s="66"/>
      <c r="B240" s="66"/>
      <c r="D240"/>
      <c r="E240" s="216">
        <v>53.9</v>
      </c>
      <c r="F240">
        <v>122</v>
      </c>
      <c r="G240">
        <v>3.54</v>
      </c>
      <c r="H240">
        <v>4200</v>
      </c>
      <c r="I240" s="222">
        <v>0</v>
      </c>
      <c r="J240" s="222">
        <v>0</v>
      </c>
      <c r="K240" s="219">
        <v>0</v>
      </c>
      <c r="L240" s="219">
        <v>1</v>
      </c>
      <c r="M240" s="219">
        <v>0</v>
      </c>
      <c r="N240" s="66">
        <v>9988</v>
      </c>
      <c r="AB240" s="188">
        <v>53.9</v>
      </c>
      <c r="AC240" s="189">
        <v>122</v>
      </c>
      <c r="AD240" s="189">
        <v>3.54</v>
      </c>
      <c r="AE240" s="189">
        <v>4200</v>
      </c>
      <c r="AF240" s="235">
        <v>0</v>
      </c>
      <c r="AG240" s="235">
        <v>0</v>
      </c>
      <c r="AH240" s="241">
        <v>1</v>
      </c>
      <c r="AI240" s="241">
        <v>0</v>
      </c>
      <c r="AJ240" s="246">
        <v>9988</v>
      </c>
    </row>
    <row r="241" spans="1:36" ht="20.25" customHeight="1">
      <c r="A241" s="66"/>
      <c r="B241" s="66"/>
      <c r="D241"/>
      <c r="E241" s="216">
        <v>54.9</v>
      </c>
      <c r="F241">
        <v>122</v>
      </c>
      <c r="G241">
        <v>3.54</v>
      </c>
      <c r="H241">
        <v>4200</v>
      </c>
      <c r="I241" s="222">
        <v>0</v>
      </c>
      <c r="J241" s="222">
        <v>0</v>
      </c>
      <c r="K241" s="219">
        <v>0</v>
      </c>
      <c r="L241" s="219">
        <v>1</v>
      </c>
      <c r="M241" s="219">
        <v>0</v>
      </c>
      <c r="N241" s="66">
        <v>10898</v>
      </c>
      <c r="AB241" s="186">
        <v>54.9</v>
      </c>
      <c r="AC241" s="187">
        <v>122</v>
      </c>
      <c r="AD241" s="187">
        <v>3.54</v>
      </c>
      <c r="AE241" s="187">
        <v>4200</v>
      </c>
      <c r="AF241" s="234">
        <v>0</v>
      </c>
      <c r="AG241" s="234">
        <v>0</v>
      </c>
      <c r="AH241" s="239">
        <v>1</v>
      </c>
      <c r="AI241" s="239">
        <v>0</v>
      </c>
      <c r="AJ241" s="245">
        <v>10898</v>
      </c>
    </row>
    <row r="242" spans="1:36" ht="20.25" customHeight="1">
      <c r="A242" s="66"/>
      <c r="B242" s="66"/>
      <c r="D242"/>
      <c r="E242" s="216">
        <v>53.9</v>
      </c>
      <c r="F242">
        <v>122</v>
      </c>
      <c r="G242">
        <v>3.54</v>
      </c>
      <c r="H242">
        <v>4200</v>
      </c>
      <c r="I242" s="222">
        <v>0</v>
      </c>
      <c r="J242" s="222">
        <v>0</v>
      </c>
      <c r="K242" s="219">
        <v>0</v>
      </c>
      <c r="L242" s="219">
        <v>1</v>
      </c>
      <c r="M242" s="219">
        <v>0</v>
      </c>
      <c r="N242" s="66">
        <v>11248</v>
      </c>
      <c r="AB242" s="188">
        <v>53.9</v>
      </c>
      <c r="AC242" s="189">
        <v>122</v>
      </c>
      <c r="AD242" s="189">
        <v>3.54</v>
      </c>
      <c r="AE242" s="189">
        <v>4200</v>
      </c>
      <c r="AF242" s="235">
        <v>0</v>
      </c>
      <c r="AG242" s="235">
        <v>0</v>
      </c>
      <c r="AH242" s="241">
        <v>1</v>
      </c>
      <c r="AI242" s="241">
        <v>0</v>
      </c>
      <c r="AJ242" s="246">
        <v>11248</v>
      </c>
    </row>
    <row r="243" spans="1:36" ht="20.25" customHeight="1">
      <c r="A243" s="66"/>
      <c r="B243" s="66"/>
      <c r="D243"/>
      <c r="E243" s="216">
        <v>52</v>
      </c>
      <c r="F243">
        <v>171</v>
      </c>
      <c r="G243">
        <v>3.35</v>
      </c>
      <c r="H243">
        <v>5200</v>
      </c>
      <c r="I243" s="222">
        <v>0</v>
      </c>
      <c r="J243" s="222">
        <v>0</v>
      </c>
      <c r="K243" s="219">
        <v>0</v>
      </c>
      <c r="L243" s="219">
        <v>0</v>
      </c>
      <c r="M243" s="219">
        <v>0</v>
      </c>
      <c r="N243" s="66">
        <v>16558</v>
      </c>
      <c r="AB243" s="186">
        <v>52</v>
      </c>
      <c r="AC243" s="187">
        <v>171</v>
      </c>
      <c r="AD243" s="187">
        <v>3.35</v>
      </c>
      <c r="AE243" s="187">
        <v>5200</v>
      </c>
      <c r="AF243" s="234">
        <v>0</v>
      </c>
      <c r="AG243" s="234">
        <v>0</v>
      </c>
      <c r="AH243" s="239">
        <v>0</v>
      </c>
      <c r="AI243" s="239">
        <v>0</v>
      </c>
      <c r="AJ243" s="245">
        <v>16558</v>
      </c>
    </row>
    <row r="244" spans="1:36" ht="20.25" customHeight="1">
      <c r="A244" s="66"/>
      <c r="B244" s="66"/>
      <c r="D244"/>
      <c r="E244" s="216">
        <v>52</v>
      </c>
      <c r="F244">
        <v>171</v>
      </c>
      <c r="G244">
        <v>3.35</v>
      </c>
      <c r="H244">
        <v>5200</v>
      </c>
      <c r="I244" s="222">
        <v>0</v>
      </c>
      <c r="J244" s="222">
        <v>0</v>
      </c>
      <c r="K244" s="219">
        <v>0</v>
      </c>
      <c r="L244" s="219">
        <v>0</v>
      </c>
      <c r="M244" s="219">
        <v>0</v>
      </c>
      <c r="N244" s="66">
        <v>15998</v>
      </c>
      <c r="AB244" s="188">
        <v>52</v>
      </c>
      <c r="AC244" s="189">
        <v>171</v>
      </c>
      <c r="AD244" s="189">
        <v>3.35</v>
      </c>
      <c r="AE244" s="189">
        <v>5200</v>
      </c>
      <c r="AF244" s="235">
        <v>0</v>
      </c>
      <c r="AG244" s="235">
        <v>0</v>
      </c>
      <c r="AH244" s="241">
        <v>0</v>
      </c>
      <c r="AI244" s="241">
        <v>0</v>
      </c>
      <c r="AJ244" s="246">
        <v>15998</v>
      </c>
    </row>
    <row r="245" spans="1:36" ht="20.25" customHeight="1">
      <c r="A245" s="66"/>
      <c r="B245" s="66"/>
      <c r="D245"/>
      <c r="E245" s="216">
        <v>54.1</v>
      </c>
      <c r="F245">
        <v>171</v>
      </c>
      <c r="G245">
        <v>3.35</v>
      </c>
      <c r="H245">
        <v>5200</v>
      </c>
      <c r="I245" s="222">
        <v>0</v>
      </c>
      <c r="J245" s="222">
        <v>0</v>
      </c>
      <c r="K245" s="219">
        <v>0</v>
      </c>
      <c r="L245" s="219">
        <v>0</v>
      </c>
      <c r="M245" s="219">
        <v>0</v>
      </c>
      <c r="N245" s="66">
        <v>15690</v>
      </c>
      <c r="AB245" s="186">
        <v>54.1</v>
      </c>
      <c r="AC245" s="187">
        <v>171</v>
      </c>
      <c r="AD245" s="187">
        <v>3.35</v>
      </c>
      <c r="AE245" s="187">
        <v>5200</v>
      </c>
      <c r="AF245" s="234">
        <v>0</v>
      </c>
      <c r="AG245" s="234">
        <v>0</v>
      </c>
      <c r="AH245" s="239">
        <v>0</v>
      </c>
      <c r="AI245" s="239">
        <v>0</v>
      </c>
      <c r="AJ245" s="245">
        <v>15690</v>
      </c>
    </row>
    <row r="246" spans="1:36" ht="20.25" customHeight="1">
      <c r="A246" s="66"/>
      <c r="B246" s="66"/>
      <c r="D246"/>
      <c r="E246" s="216">
        <v>54.1</v>
      </c>
      <c r="F246">
        <v>161</v>
      </c>
      <c r="G246">
        <v>3.35</v>
      </c>
      <c r="H246">
        <v>5200</v>
      </c>
      <c r="I246" s="222">
        <v>0</v>
      </c>
      <c r="J246" s="222">
        <v>0</v>
      </c>
      <c r="K246" s="219">
        <v>0</v>
      </c>
      <c r="L246" s="219">
        <v>0</v>
      </c>
      <c r="M246" s="219">
        <v>0</v>
      </c>
      <c r="N246" s="66">
        <v>15750</v>
      </c>
      <c r="AB246" s="188">
        <v>54.1</v>
      </c>
      <c r="AC246" s="189">
        <v>161</v>
      </c>
      <c r="AD246" s="189">
        <v>3.35</v>
      </c>
      <c r="AE246" s="189">
        <v>5200</v>
      </c>
      <c r="AF246" s="235">
        <v>0</v>
      </c>
      <c r="AG246" s="235">
        <v>0</v>
      </c>
      <c r="AH246" s="241">
        <v>0</v>
      </c>
      <c r="AI246" s="241">
        <v>0</v>
      </c>
      <c r="AJ246" s="246">
        <v>15750</v>
      </c>
    </row>
    <row r="247" spans="1:36" ht="20.25" customHeight="1">
      <c r="A247" s="66"/>
      <c r="B247" s="66"/>
      <c r="D247"/>
      <c r="E247" s="216">
        <v>55.7</v>
      </c>
      <c r="F247">
        <v>97</v>
      </c>
      <c r="G247">
        <v>3.4</v>
      </c>
      <c r="H247">
        <v>4800</v>
      </c>
      <c r="I247" s="222">
        <v>1</v>
      </c>
      <c r="J247" s="222">
        <v>0</v>
      </c>
      <c r="K247" s="219">
        <v>0</v>
      </c>
      <c r="L247" s="219">
        <v>1</v>
      </c>
      <c r="M247" s="219">
        <v>0</v>
      </c>
      <c r="N247" s="66">
        <v>7775</v>
      </c>
      <c r="AB247" s="186">
        <v>55.7</v>
      </c>
      <c r="AC247" s="187">
        <v>97</v>
      </c>
      <c r="AD247" s="187">
        <v>3.4</v>
      </c>
      <c r="AE247" s="187">
        <v>4800</v>
      </c>
      <c r="AF247" s="234">
        <v>1</v>
      </c>
      <c r="AG247" s="234">
        <v>0</v>
      </c>
      <c r="AH247" s="239">
        <v>1</v>
      </c>
      <c r="AI247" s="239">
        <v>0</v>
      </c>
      <c r="AJ247" s="245">
        <v>7775</v>
      </c>
    </row>
    <row r="248" spans="1:36" ht="20.25" customHeight="1">
      <c r="A248" s="66"/>
      <c r="B248" s="66"/>
      <c r="D248"/>
      <c r="E248" s="216">
        <v>55.7</v>
      </c>
      <c r="F248">
        <v>109</v>
      </c>
      <c r="G248">
        <v>3.4</v>
      </c>
      <c r="H248">
        <v>5250</v>
      </c>
      <c r="I248" s="222">
        <v>0</v>
      </c>
      <c r="J248" s="222">
        <v>0</v>
      </c>
      <c r="K248" s="219">
        <v>0</v>
      </c>
      <c r="L248" s="219">
        <v>1</v>
      </c>
      <c r="M248" s="219">
        <v>0</v>
      </c>
      <c r="N248" s="66">
        <v>7975</v>
      </c>
      <c r="AB248" s="188">
        <v>55.7</v>
      </c>
      <c r="AC248" s="189">
        <v>109</v>
      </c>
      <c r="AD248" s="189">
        <v>3.4</v>
      </c>
      <c r="AE248" s="189">
        <v>5250</v>
      </c>
      <c r="AF248" s="235">
        <v>0</v>
      </c>
      <c r="AG248" s="235">
        <v>0</v>
      </c>
      <c r="AH248" s="241">
        <v>1</v>
      </c>
      <c r="AI248" s="241">
        <v>0</v>
      </c>
      <c r="AJ248" s="246">
        <v>7975</v>
      </c>
    </row>
    <row r="249" spans="1:36" ht="20.25" customHeight="1">
      <c r="A249" s="66"/>
      <c r="B249" s="66"/>
      <c r="D249"/>
      <c r="E249" s="216">
        <v>55.7</v>
      </c>
      <c r="F249">
        <v>97</v>
      </c>
      <c r="G249">
        <v>3.4</v>
      </c>
      <c r="H249">
        <v>4800</v>
      </c>
      <c r="I249" s="222">
        <v>1</v>
      </c>
      <c r="J249" s="222">
        <v>0</v>
      </c>
      <c r="K249" s="219">
        <v>0</v>
      </c>
      <c r="L249" s="219">
        <v>1</v>
      </c>
      <c r="M249" s="219">
        <v>0</v>
      </c>
      <c r="N249" s="66">
        <v>7995</v>
      </c>
      <c r="AB249" s="186">
        <v>55.7</v>
      </c>
      <c r="AC249" s="187">
        <v>97</v>
      </c>
      <c r="AD249" s="187">
        <v>3.4</v>
      </c>
      <c r="AE249" s="187">
        <v>4800</v>
      </c>
      <c r="AF249" s="234">
        <v>1</v>
      </c>
      <c r="AG249" s="234">
        <v>0</v>
      </c>
      <c r="AH249" s="239">
        <v>1</v>
      </c>
      <c r="AI249" s="239">
        <v>0</v>
      </c>
      <c r="AJ249" s="245">
        <v>7995</v>
      </c>
    </row>
    <row r="250" spans="1:36" ht="20.25" customHeight="1">
      <c r="A250" s="66"/>
      <c r="B250" s="66"/>
      <c r="D250"/>
      <c r="E250" s="216">
        <v>55.7</v>
      </c>
      <c r="F250">
        <v>109</v>
      </c>
      <c r="G250">
        <v>3.4</v>
      </c>
      <c r="H250">
        <v>5250</v>
      </c>
      <c r="I250" s="222">
        <v>0</v>
      </c>
      <c r="J250" s="222">
        <v>0</v>
      </c>
      <c r="K250" s="219">
        <v>0</v>
      </c>
      <c r="L250" s="219">
        <v>1</v>
      </c>
      <c r="M250" s="219">
        <v>0</v>
      </c>
      <c r="N250" s="66">
        <v>8195</v>
      </c>
      <c r="AB250" s="188">
        <v>55.7</v>
      </c>
      <c r="AC250" s="189">
        <v>109</v>
      </c>
      <c r="AD250" s="189">
        <v>3.4</v>
      </c>
      <c r="AE250" s="189">
        <v>5250</v>
      </c>
      <c r="AF250" s="235">
        <v>0</v>
      </c>
      <c r="AG250" s="235">
        <v>0</v>
      </c>
      <c r="AH250" s="241">
        <v>1</v>
      </c>
      <c r="AI250" s="241">
        <v>0</v>
      </c>
      <c r="AJ250" s="246">
        <v>8195</v>
      </c>
    </row>
    <row r="251" spans="1:36" ht="20.25" customHeight="1">
      <c r="A251" s="66"/>
      <c r="B251" s="66"/>
      <c r="D251"/>
      <c r="E251" s="216">
        <v>55.7</v>
      </c>
      <c r="F251">
        <v>109</v>
      </c>
      <c r="G251">
        <v>3.4</v>
      </c>
      <c r="H251">
        <v>5250</v>
      </c>
      <c r="I251" s="222">
        <v>0</v>
      </c>
      <c r="J251" s="222">
        <v>0</v>
      </c>
      <c r="K251" s="219">
        <v>0</v>
      </c>
      <c r="L251" s="219">
        <v>1</v>
      </c>
      <c r="M251" s="219">
        <v>0</v>
      </c>
      <c r="N251" s="66">
        <v>8495</v>
      </c>
      <c r="AB251" s="186">
        <v>55.7</v>
      </c>
      <c r="AC251" s="187">
        <v>109</v>
      </c>
      <c r="AD251" s="187">
        <v>3.4</v>
      </c>
      <c r="AE251" s="187">
        <v>5250</v>
      </c>
      <c r="AF251" s="234">
        <v>0</v>
      </c>
      <c r="AG251" s="234">
        <v>0</v>
      </c>
      <c r="AH251" s="239">
        <v>1</v>
      </c>
      <c r="AI251" s="239">
        <v>0</v>
      </c>
      <c r="AJ251" s="245">
        <v>8495</v>
      </c>
    </row>
    <row r="252" spans="1:36" ht="20.25" customHeight="1">
      <c r="A252" s="66"/>
      <c r="B252" s="66"/>
      <c r="D252"/>
      <c r="E252" s="216">
        <v>55.7</v>
      </c>
      <c r="F252">
        <v>97</v>
      </c>
      <c r="G252">
        <v>3.4</v>
      </c>
      <c r="H252">
        <v>4500</v>
      </c>
      <c r="I252" s="222">
        <v>1</v>
      </c>
      <c r="J252" s="222">
        <v>1</v>
      </c>
      <c r="K252" s="219">
        <v>0</v>
      </c>
      <c r="L252" s="219">
        <v>1</v>
      </c>
      <c r="M252" s="219">
        <v>0</v>
      </c>
      <c r="N252" s="66">
        <v>9495</v>
      </c>
      <c r="AB252" s="188">
        <v>55.7</v>
      </c>
      <c r="AC252" s="189">
        <v>97</v>
      </c>
      <c r="AD252" s="189">
        <v>3.4</v>
      </c>
      <c r="AE252" s="189">
        <v>4500</v>
      </c>
      <c r="AF252" s="235">
        <v>1</v>
      </c>
      <c r="AG252" s="235">
        <v>1</v>
      </c>
      <c r="AH252" s="241">
        <v>1</v>
      </c>
      <c r="AI252" s="241">
        <v>0</v>
      </c>
      <c r="AJ252" s="246">
        <v>9495</v>
      </c>
    </row>
    <row r="253" spans="1:36" ht="20.25" customHeight="1">
      <c r="A253" s="66"/>
      <c r="B253" s="66"/>
      <c r="D253"/>
      <c r="E253" s="216">
        <v>55.7</v>
      </c>
      <c r="F253">
        <v>109</v>
      </c>
      <c r="G253">
        <v>3.4</v>
      </c>
      <c r="H253">
        <v>5500</v>
      </c>
      <c r="I253" s="222">
        <v>0</v>
      </c>
      <c r="J253" s="222">
        <v>0</v>
      </c>
      <c r="K253" s="219">
        <v>0</v>
      </c>
      <c r="L253" s="219">
        <v>1</v>
      </c>
      <c r="M253" s="219">
        <v>0</v>
      </c>
      <c r="N253" s="66">
        <v>9995</v>
      </c>
      <c r="AB253" s="186">
        <v>55.7</v>
      </c>
      <c r="AC253" s="187">
        <v>109</v>
      </c>
      <c r="AD253" s="187">
        <v>3.4</v>
      </c>
      <c r="AE253" s="187">
        <v>5500</v>
      </c>
      <c r="AF253" s="234">
        <v>0</v>
      </c>
      <c r="AG253" s="234">
        <v>0</v>
      </c>
      <c r="AH253" s="239">
        <v>1</v>
      </c>
      <c r="AI253" s="239">
        <v>0</v>
      </c>
      <c r="AJ253" s="245">
        <v>9995</v>
      </c>
    </row>
    <row r="254" spans="1:36" ht="20.25" customHeight="1">
      <c r="A254" s="66"/>
      <c r="B254" s="66"/>
      <c r="D254"/>
      <c r="E254" s="216">
        <v>55.6</v>
      </c>
      <c r="F254">
        <v>109</v>
      </c>
      <c r="G254">
        <v>3.4</v>
      </c>
      <c r="H254">
        <v>5500</v>
      </c>
      <c r="I254" s="222">
        <v>0</v>
      </c>
      <c r="J254" s="222">
        <v>0</v>
      </c>
      <c r="K254" s="219">
        <v>0</v>
      </c>
      <c r="L254" s="219">
        <v>1</v>
      </c>
      <c r="M254" s="219">
        <v>0</v>
      </c>
      <c r="N254" s="66">
        <v>11595</v>
      </c>
      <c r="AB254" s="188">
        <v>55.6</v>
      </c>
      <c r="AC254" s="189">
        <v>109</v>
      </c>
      <c r="AD254" s="189">
        <v>3.4</v>
      </c>
      <c r="AE254" s="189">
        <v>5500</v>
      </c>
      <c r="AF254" s="235">
        <v>0</v>
      </c>
      <c r="AG254" s="235">
        <v>0</v>
      </c>
      <c r="AH254" s="241">
        <v>1</v>
      </c>
      <c r="AI254" s="241">
        <v>0</v>
      </c>
      <c r="AJ254" s="246">
        <v>11595</v>
      </c>
    </row>
    <row r="255" spans="1:36" ht="20.25" customHeight="1">
      <c r="A255" s="66"/>
      <c r="B255" s="66"/>
      <c r="D255"/>
      <c r="E255" s="216">
        <v>51.4</v>
      </c>
      <c r="F255">
        <v>109</v>
      </c>
      <c r="G255">
        <v>3.4</v>
      </c>
      <c r="H255">
        <v>5500</v>
      </c>
      <c r="I255" s="222">
        <v>0</v>
      </c>
      <c r="J255" s="222">
        <v>0</v>
      </c>
      <c r="K255" s="219">
        <v>0</v>
      </c>
      <c r="L255" s="219">
        <v>1</v>
      </c>
      <c r="M255" s="219">
        <v>0</v>
      </c>
      <c r="N255" s="66">
        <v>9980</v>
      </c>
      <c r="AB255" s="186">
        <v>51.4</v>
      </c>
      <c r="AC255" s="187">
        <v>109</v>
      </c>
      <c r="AD255" s="187">
        <v>3.4</v>
      </c>
      <c r="AE255" s="187">
        <v>5500</v>
      </c>
      <c r="AF255" s="234">
        <v>0</v>
      </c>
      <c r="AG255" s="234">
        <v>0</v>
      </c>
      <c r="AH255" s="239">
        <v>1</v>
      </c>
      <c r="AI255" s="239">
        <v>0</v>
      </c>
      <c r="AJ255" s="245">
        <v>9980</v>
      </c>
    </row>
    <row r="256" spans="1:36" ht="20.25" customHeight="1">
      <c r="A256" s="66"/>
      <c r="B256" s="66"/>
      <c r="D256"/>
      <c r="E256" s="216">
        <v>55.1</v>
      </c>
      <c r="F256">
        <v>136</v>
      </c>
      <c r="G256">
        <v>3.4</v>
      </c>
      <c r="H256">
        <v>5500</v>
      </c>
      <c r="I256" s="222">
        <v>0</v>
      </c>
      <c r="J256" s="222">
        <v>0</v>
      </c>
      <c r="K256" s="219">
        <v>0</v>
      </c>
      <c r="L256" s="219">
        <v>1</v>
      </c>
      <c r="M256" s="219">
        <v>0</v>
      </c>
      <c r="N256" s="66">
        <v>13295</v>
      </c>
      <c r="AB256" s="188">
        <v>55.1</v>
      </c>
      <c r="AC256" s="189">
        <v>136</v>
      </c>
      <c r="AD256" s="189">
        <v>3.4</v>
      </c>
      <c r="AE256" s="189">
        <v>5500</v>
      </c>
      <c r="AF256" s="235">
        <v>0</v>
      </c>
      <c r="AG256" s="235">
        <v>0</v>
      </c>
      <c r="AH256" s="241">
        <v>1</v>
      </c>
      <c r="AI256" s="241">
        <v>0</v>
      </c>
      <c r="AJ256" s="246">
        <v>13295</v>
      </c>
    </row>
    <row r="257" spans="1:36" ht="20.25" customHeight="1">
      <c r="A257" s="66"/>
      <c r="B257" s="66"/>
      <c r="D257"/>
      <c r="E257" s="216">
        <v>55.1</v>
      </c>
      <c r="F257">
        <v>97</v>
      </c>
      <c r="G257">
        <v>3.4</v>
      </c>
      <c r="H257">
        <v>4500</v>
      </c>
      <c r="I257" s="222">
        <v>1</v>
      </c>
      <c r="J257" s="222">
        <v>1</v>
      </c>
      <c r="K257" s="219">
        <v>0</v>
      </c>
      <c r="L257" s="219">
        <v>1</v>
      </c>
      <c r="M257" s="219">
        <v>0</v>
      </c>
      <c r="N257" s="66">
        <v>13845</v>
      </c>
      <c r="AB257" s="186">
        <v>55.1</v>
      </c>
      <c r="AC257" s="187">
        <v>97</v>
      </c>
      <c r="AD257" s="187">
        <v>3.4</v>
      </c>
      <c r="AE257" s="187">
        <v>4500</v>
      </c>
      <c r="AF257" s="234">
        <v>1</v>
      </c>
      <c r="AG257" s="234">
        <v>1</v>
      </c>
      <c r="AH257" s="239">
        <v>1</v>
      </c>
      <c r="AI257" s="239">
        <v>0</v>
      </c>
      <c r="AJ257" s="245">
        <v>13845</v>
      </c>
    </row>
    <row r="258" spans="1:36" ht="20.25" customHeight="1">
      <c r="A258" s="66"/>
      <c r="B258" s="66"/>
      <c r="D258"/>
      <c r="E258" s="216">
        <v>55.1</v>
      </c>
      <c r="F258">
        <v>109</v>
      </c>
      <c r="G258">
        <v>3.4</v>
      </c>
      <c r="H258">
        <v>5500</v>
      </c>
      <c r="I258" s="222">
        <v>0</v>
      </c>
      <c r="J258" s="222">
        <v>0</v>
      </c>
      <c r="K258" s="219">
        <v>0</v>
      </c>
      <c r="L258" s="219">
        <v>1</v>
      </c>
      <c r="M258" s="219">
        <v>0</v>
      </c>
      <c r="N258" s="66">
        <v>12290</v>
      </c>
      <c r="AB258" s="188">
        <v>55.1</v>
      </c>
      <c r="AC258" s="189">
        <v>109</v>
      </c>
      <c r="AD258" s="189">
        <v>3.4</v>
      </c>
      <c r="AE258" s="189">
        <v>5500</v>
      </c>
      <c r="AF258" s="235">
        <v>0</v>
      </c>
      <c r="AG258" s="235">
        <v>0</v>
      </c>
      <c r="AH258" s="241">
        <v>1</v>
      </c>
      <c r="AI258" s="241">
        <v>0</v>
      </c>
      <c r="AJ258" s="246">
        <v>12290</v>
      </c>
    </row>
    <row r="259" spans="1:36" ht="20.25" customHeight="1">
      <c r="A259" s="66"/>
      <c r="B259" s="66"/>
      <c r="D259"/>
      <c r="E259" s="216">
        <v>56.2</v>
      </c>
      <c r="F259">
        <v>141</v>
      </c>
      <c r="G259">
        <v>3.15</v>
      </c>
      <c r="H259">
        <v>5400</v>
      </c>
      <c r="I259" s="222">
        <v>0</v>
      </c>
      <c r="J259" s="222">
        <v>0</v>
      </c>
      <c r="K259" s="219">
        <v>0</v>
      </c>
      <c r="L259" s="219">
        <v>0</v>
      </c>
      <c r="M259" s="219">
        <v>0</v>
      </c>
      <c r="N259" s="66">
        <v>12940</v>
      </c>
      <c r="AB259" s="186">
        <v>56.2</v>
      </c>
      <c r="AC259" s="187">
        <v>141</v>
      </c>
      <c r="AD259" s="187">
        <v>3.15</v>
      </c>
      <c r="AE259" s="187">
        <v>5400</v>
      </c>
      <c r="AF259" s="234">
        <v>0</v>
      </c>
      <c r="AG259" s="234">
        <v>0</v>
      </c>
      <c r="AH259" s="239">
        <v>0</v>
      </c>
      <c r="AI259" s="239">
        <v>0</v>
      </c>
      <c r="AJ259" s="245">
        <v>12940</v>
      </c>
    </row>
    <row r="260" spans="1:36" ht="20.25" customHeight="1">
      <c r="A260" s="66"/>
      <c r="B260" s="66"/>
      <c r="D260"/>
      <c r="E260" s="216">
        <v>57.5</v>
      </c>
      <c r="F260">
        <v>141</v>
      </c>
      <c r="G260">
        <v>3.15</v>
      </c>
      <c r="H260">
        <v>5400</v>
      </c>
      <c r="I260" s="222">
        <v>0</v>
      </c>
      <c r="J260" s="222">
        <v>0</v>
      </c>
      <c r="K260" s="219">
        <v>0</v>
      </c>
      <c r="L260" s="219">
        <v>0</v>
      </c>
      <c r="M260" s="219">
        <v>0</v>
      </c>
      <c r="N260" s="66">
        <v>13415</v>
      </c>
      <c r="AB260" s="188">
        <v>57.5</v>
      </c>
      <c r="AC260" s="189">
        <v>141</v>
      </c>
      <c r="AD260" s="189">
        <v>3.15</v>
      </c>
      <c r="AE260" s="189">
        <v>5400</v>
      </c>
      <c r="AF260" s="235">
        <v>0</v>
      </c>
      <c r="AG260" s="235">
        <v>0</v>
      </c>
      <c r="AH260" s="241">
        <v>0</v>
      </c>
      <c r="AI260" s="241">
        <v>0</v>
      </c>
      <c r="AJ260" s="246">
        <v>13415</v>
      </c>
    </row>
    <row r="261" spans="1:36" ht="20.25" customHeight="1">
      <c r="A261" s="66"/>
      <c r="B261" s="66"/>
      <c r="D261"/>
      <c r="E261" s="216">
        <v>56.2</v>
      </c>
      <c r="F261">
        <v>141</v>
      </c>
      <c r="G261">
        <v>3.15</v>
      </c>
      <c r="H261">
        <v>5400</v>
      </c>
      <c r="I261" s="222">
        <v>0</v>
      </c>
      <c r="J261" s="222">
        <v>0</v>
      </c>
      <c r="K261" s="219">
        <v>0</v>
      </c>
      <c r="L261" s="219">
        <v>0</v>
      </c>
      <c r="M261" s="219">
        <v>0</v>
      </c>
      <c r="N261" s="66">
        <v>15985</v>
      </c>
      <c r="AB261" s="186">
        <v>56.2</v>
      </c>
      <c r="AC261" s="187">
        <v>141</v>
      </c>
      <c r="AD261" s="187">
        <v>3.15</v>
      </c>
      <c r="AE261" s="187">
        <v>5400</v>
      </c>
      <c r="AF261" s="234">
        <v>0</v>
      </c>
      <c r="AG261" s="234">
        <v>0</v>
      </c>
      <c r="AH261" s="239">
        <v>0</v>
      </c>
      <c r="AI261" s="239">
        <v>0</v>
      </c>
      <c r="AJ261" s="245">
        <v>15985</v>
      </c>
    </row>
    <row r="262" spans="1:36" ht="20.25" customHeight="1">
      <c r="A262" s="66"/>
      <c r="B262" s="66"/>
      <c r="D262"/>
      <c r="E262" s="216">
        <v>57.5</v>
      </c>
      <c r="F262">
        <v>141</v>
      </c>
      <c r="G262">
        <v>3.15</v>
      </c>
      <c r="H262">
        <v>5400</v>
      </c>
      <c r="I262" s="222">
        <v>0</v>
      </c>
      <c r="J262" s="222">
        <v>0</v>
      </c>
      <c r="K262" s="219">
        <v>0</v>
      </c>
      <c r="L262" s="219">
        <v>0</v>
      </c>
      <c r="M262" s="219">
        <v>0</v>
      </c>
      <c r="N262" s="66">
        <v>16515</v>
      </c>
      <c r="AB262" s="188">
        <v>57.5</v>
      </c>
      <c r="AC262" s="189">
        <v>141</v>
      </c>
      <c r="AD262" s="189">
        <v>3.15</v>
      </c>
      <c r="AE262" s="189">
        <v>5400</v>
      </c>
      <c r="AF262" s="235">
        <v>0</v>
      </c>
      <c r="AG262" s="235">
        <v>0</v>
      </c>
      <c r="AH262" s="241">
        <v>0</v>
      </c>
      <c r="AI262" s="241">
        <v>0</v>
      </c>
      <c r="AJ262" s="246">
        <v>16515</v>
      </c>
    </row>
    <row r="263" spans="1:36" ht="20.25" customHeight="1">
      <c r="A263" s="66"/>
      <c r="B263" s="66"/>
      <c r="D263"/>
      <c r="E263" s="216">
        <v>56.2</v>
      </c>
      <c r="F263">
        <v>130</v>
      </c>
      <c r="G263">
        <v>3.15</v>
      </c>
      <c r="H263">
        <v>5100</v>
      </c>
      <c r="I263" s="222">
        <v>0</v>
      </c>
      <c r="J263" s="222">
        <v>1</v>
      </c>
      <c r="K263" s="219">
        <v>0</v>
      </c>
      <c r="L263" s="219">
        <v>0</v>
      </c>
      <c r="M263" s="219">
        <v>0</v>
      </c>
      <c r="N263" s="66">
        <v>18420</v>
      </c>
      <c r="AB263" s="186">
        <v>56.2</v>
      </c>
      <c r="AC263" s="187">
        <v>130</v>
      </c>
      <c r="AD263" s="187">
        <v>3.15</v>
      </c>
      <c r="AE263" s="187">
        <v>5100</v>
      </c>
      <c r="AF263" s="234">
        <v>0</v>
      </c>
      <c r="AG263" s="234">
        <v>1</v>
      </c>
      <c r="AH263" s="239">
        <v>0</v>
      </c>
      <c r="AI263" s="239">
        <v>0</v>
      </c>
      <c r="AJ263" s="245">
        <v>18420</v>
      </c>
    </row>
    <row r="264" spans="1:36" ht="20.25" customHeight="1">
      <c r="A264" s="66"/>
      <c r="B264" s="66"/>
      <c r="D264"/>
      <c r="E264" s="216">
        <v>57.5</v>
      </c>
      <c r="F264">
        <v>130</v>
      </c>
      <c r="G264">
        <v>3.15</v>
      </c>
      <c r="H264">
        <v>5100</v>
      </c>
      <c r="I264" s="222">
        <v>0</v>
      </c>
      <c r="J264" s="222">
        <v>1</v>
      </c>
      <c r="K264" s="219">
        <v>0</v>
      </c>
      <c r="L264" s="219">
        <v>0</v>
      </c>
      <c r="M264" s="219">
        <v>0</v>
      </c>
      <c r="N264" s="66">
        <v>18950</v>
      </c>
      <c r="AB264" s="188">
        <v>57.5</v>
      </c>
      <c r="AC264" s="189">
        <v>130</v>
      </c>
      <c r="AD264" s="189">
        <v>3.15</v>
      </c>
      <c r="AE264" s="189">
        <v>5100</v>
      </c>
      <c r="AF264" s="235">
        <v>0</v>
      </c>
      <c r="AG264" s="235">
        <v>1</v>
      </c>
      <c r="AH264" s="241">
        <v>0</v>
      </c>
      <c r="AI264" s="241">
        <v>0</v>
      </c>
      <c r="AJ264" s="246">
        <v>18950</v>
      </c>
    </row>
    <row r="265" spans="1:36" ht="20.25" customHeight="1">
      <c r="A265" s="66"/>
      <c r="B265" s="66"/>
      <c r="D265"/>
      <c r="E265" s="216">
        <v>55.5</v>
      </c>
      <c r="F265">
        <v>141</v>
      </c>
      <c r="G265">
        <v>3.15</v>
      </c>
      <c r="H265">
        <v>5400</v>
      </c>
      <c r="I265" s="222">
        <v>0</v>
      </c>
      <c r="J265" s="222">
        <v>0</v>
      </c>
      <c r="K265" s="219">
        <v>0</v>
      </c>
      <c r="L265" s="219">
        <v>0</v>
      </c>
      <c r="M265" s="219">
        <v>0</v>
      </c>
      <c r="N265" s="66">
        <v>16845</v>
      </c>
      <c r="AB265" s="186">
        <v>55.5</v>
      </c>
      <c r="AC265" s="187">
        <v>141</v>
      </c>
      <c r="AD265" s="187">
        <v>3.15</v>
      </c>
      <c r="AE265" s="187">
        <v>5400</v>
      </c>
      <c r="AF265" s="234">
        <v>0</v>
      </c>
      <c r="AG265" s="234">
        <v>0</v>
      </c>
      <c r="AH265" s="239">
        <v>0</v>
      </c>
      <c r="AI265" s="239">
        <v>0</v>
      </c>
      <c r="AJ265" s="245">
        <v>16845</v>
      </c>
    </row>
    <row r="266" spans="1:36" ht="20.25" customHeight="1">
      <c r="A266" s="66"/>
      <c r="B266" s="66"/>
      <c r="D266"/>
      <c r="E266" s="216">
        <v>55.5</v>
      </c>
      <c r="F266">
        <v>141</v>
      </c>
      <c r="G266">
        <v>3.15</v>
      </c>
      <c r="H266">
        <v>5300</v>
      </c>
      <c r="I266" s="222">
        <v>0</v>
      </c>
      <c r="J266" s="222">
        <v>1</v>
      </c>
      <c r="K266" s="219">
        <v>0</v>
      </c>
      <c r="L266" s="219">
        <v>0</v>
      </c>
      <c r="M266" s="219">
        <v>0</v>
      </c>
      <c r="N266" s="66">
        <v>19045</v>
      </c>
      <c r="AB266" s="188">
        <v>55.5</v>
      </c>
      <c r="AC266" s="189">
        <v>141</v>
      </c>
      <c r="AD266" s="189">
        <v>3.15</v>
      </c>
      <c r="AE266" s="189">
        <v>5300</v>
      </c>
      <c r="AF266" s="235">
        <v>0</v>
      </c>
      <c r="AG266" s="235">
        <v>1</v>
      </c>
      <c r="AH266" s="241">
        <v>0</v>
      </c>
      <c r="AI266" s="241">
        <v>0</v>
      </c>
      <c r="AJ266" s="246">
        <v>19045</v>
      </c>
    </row>
    <row r="267" spans="1:36" ht="20.25" customHeight="1">
      <c r="A267" s="66"/>
      <c r="B267" s="66"/>
      <c r="D267"/>
      <c r="E267" s="216">
        <v>55.5</v>
      </c>
      <c r="F267">
        <v>173</v>
      </c>
      <c r="G267">
        <v>2.87</v>
      </c>
      <c r="H267">
        <v>5500</v>
      </c>
      <c r="I267" s="222">
        <v>0</v>
      </c>
      <c r="J267" s="222">
        <v>0</v>
      </c>
      <c r="K267" s="219">
        <v>0</v>
      </c>
      <c r="L267" s="219">
        <v>0</v>
      </c>
      <c r="M267" s="219">
        <v>0</v>
      </c>
      <c r="N267" s="66">
        <v>21485</v>
      </c>
      <c r="AB267" s="186">
        <v>55.5</v>
      </c>
      <c r="AC267" s="187">
        <v>173</v>
      </c>
      <c r="AD267" s="187">
        <v>2.87</v>
      </c>
      <c r="AE267" s="187">
        <v>5500</v>
      </c>
      <c r="AF267" s="234">
        <v>0</v>
      </c>
      <c r="AG267" s="234">
        <v>0</v>
      </c>
      <c r="AH267" s="239">
        <v>0</v>
      </c>
      <c r="AI267" s="239">
        <v>0</v>
      </c>
      <c r="AJ267" s="245">
        <v>21485</v>
      </c>
    </row>
    <row r="268" spans="1:36" ht="20.25" customHeight="1">
      <c r="A268" s="66"/>
      <c r="B268" s="66"/>
      <c r="D268"/>
      <c r="E268" s="216">
        <v>55.5</v>
      </c>
      <c r="F268">
        <v>145</v>
      </c>
      <c r="G268">
        <v>3.4</v>
      </c>
      <c r="H268">
        <v>4800</v>
      </c>
      <c r="I268" s="222">
        <v>1</v>
      </c>
      <c r="J268" s="222">
        <v>1</v>
      </c>
      <c r="K268" s="219">
        <v>0</v>
      </c>
      <c r="L268" s="219">
        <v>0</v>
      </c>
      <c r="M268" s="219">
        <v>0</v>
      </c>
      <c r="N268" s="66">
        <v>22470</v>
      </c>
      <c r="AB268" s="188">
        <v>55.5</v>
      </c>
      <c r="AC268" s="189">
        <v>145</v>
      </c>
      <c r="AD268" s="189">
        <v>3.4</v>
      </c>
      <c r="AE268" s="189">
        <v>4800</v>
      </c>
      <c r="AF268" s="235">
        <v>1</v>
      </c>
      <c r="AG268" s="235">
        <v>1</v>
      </c>
      <c r="AH268" s="241">
        <v>0</v>
      </c>
      <c r="AI268" s="241">
        <v>0</v>
      </c>
      <c r="AJ268" s="246">
        <v>22470</v>
      </c>
    </row>
    <row r="269" spans="1:36" ht="20.25" customHeight="1">
      <c r="A269" s="66"/>
      <c r="B269" s="66"/>
      <c r="D269"/>
      <c r="E269" s="216">
        <v>55.5</v>
      </c>
      <c r="F269">
        <v>141</v>
      </c>
      <c r="G269">
        <v>3.15</v>
      </c>
      <c r="H269">
        <v>5400</v>
      </c>
      <c r="I269" s="222">
        <v>0</v>
      </c>
      <c r="J269" s="222">
        <v>1</v>
      </c>
      <c r="K269" s="219">
        <v>0</v>
      </c>
      <c r="L269" s="219">
        <v>0</v>
      </c>
      <c r="M269" s="219">
        <v>0</v>
      </c>
      <c r="N269" s="66">
        <v>22625</v>
      </c>
      <c r="AB269" s="186">
        <v>55.5</v>
      </c>
      <c r="AC269" s="187">
        <v>141</v>
      </c>
      <c r="AD269" s="187">
        <v>3.15</v>
      </c>
      <c r="AE269" s="187">
        <v>5400</v>
      </c>
      <c r="AF269" s="234">
        <v>0</v>
      </c>
      <c r="AG269" s="234">
        <v>1</v>
      </c>
      <c r="AH269" s="239">
        <v>0</v>
      </c>
      <c r="AI269" s="239">
        <v>0</v>
      </c>
      <c r="AJ269" s="245">
        <v>22625</v>
      </c>
    </row>
    <row r="270" spans="1:36" ht="20.25" customHeight="1">
      <c r="A270" s="66"/>
      <c r="B270" s="66"/>
      <c r="D270" s="66"/>
    </row>
    <row r="271" spans="1:36" ht="20.25" customHeight="1">
      <c r="A271" s="66"/>
      <c r="B271" s="66"/>
      <c r="D271" s="66"/>
    </row>
    <row r="272" spans="1:36" ht="20.25" customHeight="1">
      <c r="A272" s="66"/>
      <c r="B272" s="66"/>
      <c r="D272" s="66"/>
    </row>
    <row r="273" spans="1:4" ht="20.25" customHeight="1">
      <c r="A273" s="66"/>
      <c r="B273" s="66"/>
      <c r="D273" s="66"/>
    </row>
    <row r="274" spans="1:4" ht="20.25" customHeight="1">
      <c r="A274" s="66"/>
      <c r="B274" s="66"/>
      <c r="D274" s="66"/>
    </row>
    <row r="275" spans="1:4" ht="20.25" customHeight="1">
      <c r="A275" s="66"/>
      <c r="B275" s="66"/>
      <c r="D275" s="66"/>
    </row>
    <row r="276" spans="1:4" ht="20.25" customHeight="1">
      <c r="A276" s="66"/>
      <c r="B276" s="66"/>
      <c r="D276" s="66"/>
    </row>
    <row r="277" spans="1:4" ht="20.25" customHeight="1">
      <c r="A277" s="66"/>
      <c r="B277" s="66"/>
      <c r="D277" s="66"/>
    </row>
    <row r="278" spans="1:4" ht="20.25" customHeight="1">
      <c r="A278" s="66"/>
      <c r="B278" s="66"/>
      <c r="D278" s="66"/>
    </row>
    <row r="279" spans="1:4" ht="20.25" customHeight="1">
      <c r="A279" s="66"/>
      <c r="B279" s="66"/>
      <c r="D279" s="66"/>
    </row>
    <row r="280" spans="1:4" ht="20.25" customHeight="1">
      <c r="A280" s="66"/>
      <c r="B280" s="66"/>
      <c r="D280" s="66"/>
    </row>
    <row r="281" spans="1:4" ht="20.25" customHeight="1">
      <c r="A281" s="66"/>
      <c r="B281" s="66"/>
      <c r="D281" s="66"/>
    </row>
    <row r="282" spans="1:4" ht="20.25" customHeight="1">
      <c r="A282" s="66"/>
      <c r="B282" s="66"/>
      <c r="D282" s="66"/>
    </row>
    <row r="283" spans="1:4" ht="20.25" customHeight="1">
      <c r="A283" s="66"/>
      <c r="B283" s="66"/>
      <c r="D283" s="66"/>
    </row>
    <row r="284" spans="1:4" ht="20.25" customHeight="1">
      <c r="A284" s="66"/>
      <c r="B284" s="66"/>
      <c r="D284" s="66"/>
    </row>
    <row r="285" spans="1:4" ht="20.25" customHeight="1">
      <c r="A285" s="66"/>
      <c r="B285" s="66"/>
      <c r="D285" s="66"/>
    </row>
    <row r="286" spans="1:4" ht="20.25" customHeight="1">
      <c r="A286" s="66"/>
      <c r="B286" s="66"/>
      <c r="D286" s="66"/>
    </row>
    <row r="287" spans="1:4" ht="20.25" customHeight="1">
      <c r="A287" s="66"/>
    </row>
    <row r="288" spans="1:4" ht="20.25" customHeight="1">
      <c r="A288" s="66"/>
    </row>
    <row r="289" spans="1:1" ht="20.25" customHeight="1">
      <c r="A289" s="66"/>
    </row>
    <row r="290" spans="1:1" ht="20.25" customHeight="1">
      <c r="A290" s="66"/>
    </row>
    <row r="291" spans="1:1" ht="20.25" customHeight="1">
      <c r="A291" s="66"/>
    </row>
    <row r="292" spans="1:1" ht="20.25" customHeight="1">
      <c r="A292" s="66"/>
    </row>
    <row r="293" spans="1:1" ht="20.25" customHeight="1">
      <c r="A293" s="66"/>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A6995-F700-FE45-85A5-B78E5A0930C5}">
  <dimension ref="A1:T263"/>
  <sheetViews>
    <sheetView zoomScale="83" workbookViewId="0">
      <selection activeCell="L23" sqref="L23"/>
    </sheetView>
  </sheetViews>
  <sheetFormatPr baseColWidth="10" defaultColWidth="14" defaultRowHeight="16"/>
  <cols>
    <col min="1" max="2" width="5" style="68" customWidth="1"/>
    <col min="3" max="3" width="20.5" style="66" customWidth="1"/>
    <col min="4" max="4" width="20.83203125" style="68" customWidth="1"/>
    <col min="5" max="5" width="30.1640625" style="66" customWidth="1"/>
    <col min="6" max="7" width="14" style="66"/>
    <col min="8" max="8" width="18" style="66" customWidth="1"/>
    <col min="9" max="13" width="14" style="66"/>
    <col min="14" max="14" width="14.6640625" style="66" bestFit="1" customWidth="1"/>
    <col min="15" max="16384" width="14" style="66"/>
  </cols>
  <sheetData>
    <row r="1" spans="1:19" s="2" customFormat="1" ht="20.25" customHeight="1" thickBot="1">
      <c r="A1" s="69" t="s">
        <v>34</v>
      </c>
      <c r="B1" s="1"/>
      <c r="D1" s="3" t="s">
        <v>35</v>
      </c>
      <c r="E1" s="4"/>
      <c r="F1" s="4"/>
      <c r="G1" s="4"/>
      <c r="H1" s="4"/>
      <c r="I1" s="4"/>
      <c r="J1" s="4"/>
      <c r="K1" s="4"/>
      <c r="L1" s="4"/>
      <c r="M1" s="4"/>
      <c r="N1" s="4"/>
      <c r="O1" s="4"/>
      <c r="P1" s="4"/>
      <c r="Q1" s="4"/>
      <c r="R1" s="75"/>
    </row>
    <row r="2" spans="1:19" ht="20.25" customHeight="1">
      <c r="A2" s="76"/>
      <c r="B2" s="77"/>
      <c r="C2" s="78"/>
      <c r="D2" s="79"/>
      <c r="E2" s="78"/>
      <c r="F2" s="78"/>
      <c r="G2" s="78"/>
      <c r="H2" s="78"/>
      <c r="I2" s="78"/>
      <c r="J2" s="78"/>
      <c r="K2" s="78"/>
      <c r="L2" s="78"/>
      <c r="M2" s="78"/>
      <c r="N2" s="78"/>
      <c r="O2" s="78"/>
      <c r="P2" s="78"/>
      <c r="Q2" s="78"/>
      <c r="R2" s="80"/>
    </row>
    <row r="3" spans="1:19" s="87" customFormat="1" ht="20.25" customHeight="1">
      <c r="A3" s="86"/>
      <c r="B3" s="88"/>
      <c r="R3" s="89"/>
    </row>
    <row r="4" spans="1:19" s="87" customFormat="1" ht="20.25" customHeight="1">
      <c r="A4" s="86"/>
      <c r="B4" s="110"/>
      <c r="C4" s="82" t="s">
        <v>111</v>
      </c>
      <c r="D4" s="385">
        <v>8494.9589477492318</v>
      </c>
      <c r="E4" s="99"/>
      <c r="G4" s="99"/>
      <c r="H4" s="99"/>
      <c r="I4" s="99"/>
      <c r="J4" s="99"/>
      <c r="K4" s="99"/>
      <c r="L4" s="99"/>
      <c r="M4" s="99"/>
      <c r="N4" s="99"/>
      <c r="O4" s="99"/>
      <c r="P4" s="99"/>
      <c r="Q4" s="99"/>
      <c r="R4" s="109"/>
    </row>
    <row r="5" spans="1:19" s="87" customFormat="1" ht="20.25" customHeight="1">
      <c r="B5" s="108"/>
      <c r="C5" s="68"/>
      <c r="D5" s="68"/>
      <c r="E5" s="66"/>
      <c r="F5" s="66"/>
      <c r="G5" s="66"/>
      <c r="H5" s="66"/>
      <c r="I5" s="66"/>
      <c r="J5" s="66"/>
      <c r="K5" s="66"/>
      <c r="L5" s="66"/>
      <c r="M5" s="66"/>
      <c r="N5" s="66"/>
      <c r="O5" s="66"/>
      <c r="P5" s="66"/>
      <c r="Q5" s="66"/>
      <c r="R5" s="107"/>
    </row>
    <row r="6" spans="1:19" s="99" customFormat="1" ht="20.25" customHeight="1">
      <c r="B6" s="108"/>
      <c r="C6" s="76"/>
      <c r="D6" s="388" t="s">
        <v>109</v>
      </c>
      <c r="E6" s="389" t="s">
        <v>108</v>
      </c>
      <c r="F6" s="66"/>
      <c r="G6" s="66"/>
      <c r="H6" s="66"/>
      <c r="I6" s="66"/>
      <c r="J6" s="66"/>
      <c r="K6" s="66"/>
      <c r="L6" s="66"/>
      <c r="M6" s="66"/>
      <c r="N6" s="66"/>
      <c r="O6" s="66"/>
      <c r="P6" s="66"/>
      <c r="Q6" s="66"/>
      <c r="R6" s="107"/>
    </row>
    <row r="7" spans="1:19" ht="20.25" customHeight="1">
      <c r="B7" s="108"/>
      <c r="C7" s="82" t="s">
        <v>110</v>
      </c>
      <c r="D7" s="386">
        <v>2301.4313462605014</v>
      </c>
      <c r="E7" s="387">
        <v>14688.486549237961</v>
      </c>
      <c r="R7" s="107"/>
    </row>
    <row r="8" spans="1:19" ht="20.25" customHeight="1">
      <c r="B8" s="108"/>
      <c r="C8" s="85"/>
      <c r="R8" s="107"/>
    </row>
    <row r="9" spans="1:19" ht="20.25" customHeight="1">
      <c r="B9" s="108"/>
      <c r="D9" s="388" t="s">
        <v>109</v>
      </c>
      <c r="E9" s="389" t="s">
        <v>108</v>
      </c>
      <c r="R9" s="107"/>
    </row>
    <row r="10" spans="1:19" ht="20.25" customHeight="1">
      <c r="B10" s="108"/>
      <c r="C10" s="82" t="s">
        <v>107</v>
      </c>
      <c r="D10" s="386">
        <v>8062.3842162927494</v>
      </c>
      <c r="E10" s="387">
        <v>8927.5336792057133</v>
      </c>
      <c r="R10" s="107"/>
    </row>
    <row r="11" spans="1:19" ht="20.25" customHeight="1" thickBot="1">
      <c r="B11" s="90"/>
      <c r="C11" s="91"/>
      <c r="D11" s="91"/>
      <c r="E11" s="91"/>
      <c r="F11" s="91"/>
      <c r="G11" s="91"/>
      <c r="H11" s="91"/>
      <c r="I11" s="91"/>
      <c r="J11" s="91"/>
      <c r="K11" s="91"/>
      <c r="L11" s="91"/>
      <c r="M11" s="91"/>
      <c r="N11" s="91"/>
      <c r="O11" s="91"/>
      <c r="P11" s="91"/>
      <c r="Q11" s="91"/>
      <c r="R11" s="92"/>
    </row>
    <row r="12" spans="1:19" ht="20.25" customHeight="1">
      <c r="A12" s="86"/>
      <c r="B12" s="76"/>
      <c r="C12" s="83"/>
      <c r="D12" s="76"/>
      <c r="E12" s="83"/>
      <c r="F12" s="83"/>
      <c r="G12" s="83"/>
      <c r="H12" s="83"/>
      <c r="I12" s="83"/>
      <c r="J12" s="83"/>
      <c r="K12" s="83"/>
      <c r="L12" s="83"/>
      <c r="M12" s="83"/>
      <c r="N12" s="83"/>
      <c r="O12" s="83"/>
      <c r="P12" s="83"/>
      <c r="Q12" s="83"/>
      <c r="R12" s="83"/>
    </row>
    <row r="13" spans="1:19" ht="20.25" customHeight="1">
      <c r="A13" s="69" t="s">
        <v>106</v>
      </c>
      <c r="B13" s="83"/>
      <c r="C13" s="83"/>
      <c r="D13" s="83"/>
      <c r="E13" s="83"/>
      <c r="F13" s="83"/>
      <c r="G13" s="83"/>
      <c r="H13" s="83"/>
      <c r="I13" s="83"/>
      <c r="J13" s="83"/>
      <c r="K13" s="83"/>
      <c r="L13" s="83"/>
      <c r="M13" s="83"/>
      <c r="N13" s="83"/>
      <c r="O13" s="83"/>
      <c r="P13" s="83"/>
      <c r="Q13" s="83"/>
      <c r="R13" s="83"/>
      <c r="S13" s="83"/>
    </row>
    <row r="14" spans="1:19" ht="20.25" customHeight="1" thickBot="1">
      <c r="A14" s="76"/>
      <c r="B14" s="1"/>
      <c r="C14" s="5"/>
      <c r="D14" s="2"/>
      <c r="E14" s="3" t="s">
        <v>35</v>
      </c>
      <c r="F14" s="4"/>
      <c r="G14" s="4"/>
      <c r="H14" s="4"/>
      <c r="I14" s="4"/>
      <c r="J14" s="4"/>
      <c r="K14" s="4"/>
      <c r="L14" s="4"/>
      <c r="M14" s="4"/>
      <c r="N14" s="4"/>
      <c r="O14" s="4"/>
      <c r="P14" s="4"/>
      <c r="Q14" s="4"/>
      <c r="R14" s="75"/>
      <c r="S14" s="2"/>
    </row>
    <row r="15" spans="1:19" ht="20.25" customHeight="1">
      <c r="A15" s="76"/>
      <c r="B15" s="77"/>
      <c r="C15" s="78"/>
      <c r="D15" s="78"/>
      <c r="E15" s="78"/>
      <c r="F15" s="78"/>
      <c r="G15" s="78"/>
      <c r="H15" s="93"/>
      <c r="I15" s="93"/>
      <c r="J15" s="93"/>
      <c r="K15" s="93"/>
      <c r="L15" s="93"/>
      <c r="M15" s="93"/>
      <c r="N15" s="93"/>
      <c r="O15" s="93"/>
      <c r="P15" s="93"/>
      <c r="Q15" s="93"/>
      <c r="R15" s="93"/>
      <c r="S15" s="94"/>
    </row>
    <row r="16" spans="1:19" ht="20.25" customHeight="1">
      <c r="A16" s="76"/>
      <c r="B16" s="81"/>
      <c r="D16" s="66"/>
      <c r="H16" s="95"/>
      <c r="K16" s="95"/>
      <c r="L16" s="95"/>
      <c r="M16" s="95"/>
      <c r="N16" s="95"/>
      <c r="O16" s="95"/>
      <c r="P16" s="95"/>
      <c r="Q16" s="95"/>
      <c r="R16" s="95"/>
      <c r="S16" s="96"/>
    </row>
    <row r="17" spans="1:20" ht="20.25" customHeight="1">
      <c r="A17" s="76"/>
      <c r="B17" s="81"/>
      <c r="D17" s="66"/>
      <c r="H17" s="95"/>
      <c r="K17" s="95"/>
      <c r="L17" s="95"/>
      <c r="M17" s="95"/>
      <c r="N17" s="95"/>
      <c r="O17" s="95"/>
      <c r="P17" s="95"/>
      <c r="Q17" s="95"/>
      <c r="R17" s="95"/>
      <c r="S17" s="96"/>
    </row>
    <row r="18" spans="1:20" ht="20.25" customHeight="1">
      <c r="A18" s="76"/>
      <c r="B18" s="81"/>
      <c r="D18" s="66"/>
      <c r="E18" s="83" t="s">
        <v>162</v>
      </c>
      <c r="F18" s="83" t="s">
        <v>161</v>
      </c>
      <c r="H18" s="83" t="s">
        <v>154</v>
      </c>
      <c r="I18" s="83" t="s">
        <v>161</v>
      </c>
      <c r="K18" s="95"/>
      <c r="L18" s="95"/>
      <c r="M18" s="95"/>
      <c r="N18" s="95"/>
      <c r="O18" s="95"/>
      <c r="P18" s="95"/>
      <c r="Q18" s="95"/>
      <c r="R18" s="95"/>
      <c r="S18" s="96"/>
    </row>
    <row r="19" spans="1:20" ht="20.25" customHeight="1">
      <c r="A19" s="76"/>
      <c r="B19" s="81"/>
      <c r="D19" s="66"/>
      <c r="E19" s="390" t="s">
        <v>155</v>
      </c>
      <c r="F19" s="83">
        <v>8494.9589477492318</v>
      </c>
      <c r="H19" s="390" t="s">
        <v>155</v>
      </c>
      <c r="I19" s="83">
        <v>8494.9589477492318</v>
      </c>
      <c r="K19" s="95"/>
      <c r="L19" s="95"/>
      <c r="M19" s="95"/>
      <c r="N19" s="95"/>
      <c r="O19" s="95"/>
      <c r="P19" s="95"/>
      <c r="Q19" s="95"/>
      <c r="R19" s="95"/>
      <c r="S19" s="96"/>
    </row>
    <row r="20" spans="1:20" ht="20.25" customHeight="1">
      <c r="A20" s="83"/>
      <c r="B20" s="81"/>
      <c r="D20" s="66"/>
      <c r="E20" s="391" t="s">
        <v>211</v>
      </c>
      <c r="F20" s="83">
        <v>196</v>
      </c>
      <c r="H20" s="391" t="s">
        <v>211</v>
      </c>
      <c r="I20" s="83">
        <f>M42-8-1</f>
        <v>196</v>
      </c>
      <c r="K20" s="95"/>
      <c r="L20" s="95"/>
      <c r="M20" s="95"/>
      <c r="N20" s="95"/>
      <c r="O20" s="95"/>
      <c r="P20" s="95"/>
      <c r="Q20" s="95"/>
      <c r="R20" s="95"/>
      <c r="S20" s="96"/>
      <c r="T20" s="83"/>
    </row>
    <row r="21" spans="1:20" s="2" customFormat="1" ht="20.25" customHeight="1">
      <c r="B21" s="81"/>
      <c r="C21" s="66"/>
      <c r="D21" s="66"/>
      <c r="E21" s="390" t="s">
        <v>210</v>
      </c>
      <c r="F21" s="83">
        <v>3140.509175234964</v>
      </c>
      <c r="G21" s="66"/>
      <c r="H21" s="390" t="s">
        <v>210</v>
      </c>
      <c r="I21" s="393">
        <v>3140.509175234964</v>
      </c>
      <c r="J21" s="66"/>
      <c r="K21" s="95"/>
      <c r="L21" s="95"/>
      <c r="M21" s="95"/>
      <c r="N21" s="95"/>
      <c r="O21" s="95"/>
      <c r="P21" s="95"/>
      <c r="Q21" s="95"/>
      <c r="R21" s="95"/>
      <c r="S21" s="96"/>
    </row>
    <row r="22" spans="1:20" ht="20.25" customHeight="1">
      <c r="A22" s="76"/>
      <c r="B22" s="81"/>
      <c r="D22" s="66"/>
      <c r="E22" s="391" t="s">
        <v>156</v>
      </c>
      <c r="F22" s="83">
        <v>0.05</v>
      </c>
      <c r="H22" s="391" t="s">
        <v>156</v>
      </c>
      <c r="I22" s="83">
        <v>0.05</v>
      </c>
      <c r="K22" s="95"/>
      <c r="L22" s="95"/>
      <c r="M22" s="95"/>
      <c r="N22" s="95"/>
      <c r="O22" s="95"/>
      <c r="P22" s="95"/>
      <c r="Q22" s="95"/>
      <c r="R22" s="95"/>
      <c r="S22" s="96"/>
      <c r="T22" s="95"/>
    </row>
    <row r="23" spans="1:20" ht="20.25" customHeight="1">
      <c r="A23" s="76"/>
      <c r="B23" s="81"/>
      <c r="D23" s="66"/>
      <c r="E23" s="390" t="s">
        <v>157</v>
      </c>
      <c r="F23" s="83">
        <v>1.9721412216620409</v>
      </c>
      <c r="H23" s="390" t="s">
        <v>157</v>
      </c>
      <c r="I23" s="83">
        <f>_xlfn.T.INV.2T(I22,I20)</f>
        <v>1.9721412216620409</v>
      </c>
      <c r="K23" s="95"/>
      <c r="L23" s="95"/>
      <c r="M23" s="95"/>
      <c r="N23" s="95"/>
      <c r="O23" s="95"/>
      <c r="P23" s="95"/>
      <c r="Q23" s="95"/>
      <c r="R23" s="95"/>
      <c r="S23" s="96"/>
      <c r="T23" s="95"/>
    </row>
    <row r="24" spans="1:20" ht="20.25" customHeight="1">
      <c r="A24" s="76"/>
      <c r="B24" s="81"/>
      <c r="D24" s="66"/>
      <c r="E24" s="392" t="s">
        <v>212</v>
      </c>
      <c r="F24" s="83">
        <v>205</v>
      </c>
      <c r="H24" s="391" t="s">
        <v>158</v>
      </c>
      <c r="I24" s="83">
        <f>I19-I23*I21</f>
        <v>2301.4313462605014</v>
      </c>
      <c r="K24" s="95"/>
      <c r="L24" s="95"/>
      <c r="M24" s="95"/>
      <c r="N24" s="95"/>
      <c r="O24" s="95"/>
      <c r="P24" s="95"/>
      <c r="Q24" s="95"/>
      <c r="R24" s="95"/>
      <c r="S24" s="96"/>
      <c r="T24" s="95"/>
    </row>
    <row r="25" spans="1:20" ht="20.25" customHeight="1">
      <c r="A25" s="76"/>
      <c r="B25" s="81"/>
      <c r="D25" s="66"/>
      <c r="E25" s="391" t="s">
        <v>158</v>
      </c>
      <c r="F25" s="83">
        <f>F19-F23*F21/SQRT(F24)</f>
        <v>8062.3842162927494</v>
      </c>
      <c r="H25" s="390" t="s">
        <v>159</v>
      </c>
      <c r="I25" s="83">
        <f>I19+I23*I21</f>
        <v>14688.486549237961</v>
      </c>
      <c r="K25" s="95"/>
      <c r="L25" s="95"/>
      <c r="M25" s="95"/>
      <c r="N25" s="95"/>
      <c r="O25" s="95"/>
      <c r="P25" s="95"/>
      <c r="Q25" s="95"/>
      <c r="R25" s="95"/>
      <c r="S25" s="96"/>
      <c r="T25" s="95"/>
    </row>
    <row r="26" spans="1:20" ht="20.25" customHeight="1">
      <c r="A26" s="76"/>
      <c r="B26" s="81"/>
      <c r="D26" s="66"/>
      <c r="E26" s="390" t="s">
        <v>159</v>
      </c>
      <c r="F26" s="83">
        <f>F19+F23*F21/SQRT(F24)</f>
        <v>8927.5336792057133</v>
      </c>
      <c r="H26" s="95"/>
      <c r="K26" s="95"/>
      <c r="L26" s="95"/>
      <c r="M26" s="95"/>
      <c r="N26" s="95"/>
      <c r="O26" s="95"/>
      <c r="P26" s="95"/>
      <c r="Q26" s="95"/>
      <c r="R26" s="95"/>
      <c r="S26" s="96"/>
      <c r="T26" s="95"/>
    </row>
    <row r="27" spans="1:20" ht="20.25" customHeight="1" thickBot="1">
      <c r="A27" s="76"/>
      <c r="B27" s="100"/>
      <c r="C27" s="101"/>
      <c r="D27" s="101"/>
      <c r="E27" s="101"/>
      <c r="F27" s="101"/>
      <c r="G27" s="101"/>
      <c r="H27" s="101"/>
      <c r="I27" s="101"/>
      <c r="J27" s="101"/>
      <c r="K27" s="101"/>
      <c r="L27" s="101"/>
      <c r="M27" s="101"/>
      <c r="N27" s="101"/>
      <c r="O27" s="101"/>
      <c r="P27" s="101"/>
      <c r="Q27" s="101"/>
      <c r="R27" s="101"/>
      <c r="S27" s="102"/>
      <c r="T27" s="95"/>
    </row>
    <row r="28" spans="1:20" ht="20.25" customHeight="1">
      <c r="A28" s="76"/>
      <c r="B28" s="76"/>
      <c r="C28" s="83"/>
      <c r="D28" s="83"/>
      <c r="E28" s="83"/>
      <c r="F28" s="83"/>
      <c r="G28" s="83"/>
      <c r="H28" s="83"/>
      <c r="I28" s="83"/>
      <c r="J28" s="83"/>
      <c r="K28" s="83"/>
      <c r="L28" s="83"/>
      <c r="M28" s="83"/>
      <c r="N28" s="83"/>
      <c r="O28" s="83"/>
      <c r="P28" s="83"/>
      <c r="Q28" s="83"/>
      <c r="R28" s="83"/>
      <c r="T28" s="95"/>
    </row>
    <row r="29" spans="1:20" ht="20.25" customHeight="1">
      <c r="A29" s="76"/>
      <c r="B29" s="76"/>
      <c r="C29" s="83"/>
      <c r="D29" s="83"/>
      <c r="E29" s="83"/>
      <c r="F29" s="83"/>
      <c r="G29" s="83"/>
      <c r="H29" s="83"/>
      <c r="I29" s="83"/>
      <c r="J29" s="83"/>
      <c r="K29" s="83"/>
      <c r="L29" s="83"/>
      <c r="M29" s="83"/>
      <c r="N29" s="83"/>
      <c r="O29" s="83"/>
      <c r="P29" s="83"/>
      <c r="Q29" s="83"/>
      <c r="R29" s="83"/>
      <c r="S29" s="95"/>
      <c r="T29" s="95"/>
    </row>
    <row r="30" spans="1:20" ht="20.25" customHeight="1">
      <c r="A30" s="76"/>
      <c r="B30" s="76"/>
      <c r="C30" s="83"/>
      <c r="D30" s="83"/>
      <c r="E30" s="83"/>
      <c r="F30" s="83"/>
      <c r="G30" s="83"/>
      <c r="H30" s="83"/>
      <c r="I30" s="83"/>
      <c r="J30" s="83"/>
      <c r="K30" s="83"/>
      <c r="L30" s="83"/>
      <c r="M30" s="83"/>
      <c r="N30" s="83"/>
      <c r="O30" s="83"/>
      <c r="P30" s="83"/>
      <c r="Q30" s="83"/>
      <c r="R30" s="83"/>
      <c r="T30" s="95"/>
    </row>
    <row r="31" spans="1:20" ht="20.25" customHeight="1">
      <c r="A31" s="76"/>
      <c r="B31" s="83"/>
      <c r="D31" s="66"/>
      <c r="K31" s="83"/>
      <c r="L31" s="83"/>
      <c r="M31" s="83"/>
      <c r="N31" s="83"/>
      <c r="O31" s="83"/>
      <c r="P31" s="83"/>
      <c r="Q31" s="83"/>
      <c r="R31" s="83"/>
      <c r="S31" s="83"/>
      <c r="T31" s="95"/>
    </row>
    <row r="32" spans="1:20" ht="20.25" customHeight="1">
      <c r="A32" s="69" t="s">
        <v>68</v>
      </c>
      <c r="B32" s="65"/>
      <c r="C32" s="70"/>
      <c r="D32" s="65"/>
      <c r="E32" s="71" t="s">
        <v>69</v>
      </c>
      <c r="F32" s="65"/>
      <c r="G32" s="65"/>
      <c r="H32" s="65"/>
      <c r="I32" s="65"/>
      <c r="J32" s="65"/>
      <c r="K32" s="65"/>
      <c r="L32" s="65"/>
      <c r="M32" s="65"/>
      <c r="N32" s="65"/>
      <c r="O32" s="65"/>
      <c r="P32" s="65"/>
      <c r="Q32" s="65"/>
      <c r="R32" s="65"/>
      <c r="S32" s="65"/>
      <c r="T32" s="95"/>
    </row>
    <row r="33" spans="1:20" ht="20.25" customHeight="1">
      <c r="A33" s="76"/>
      <c r="B33" s="83"/>
      <c r="C33" s="103"/>
      <c r="D33" s="103"/>
      <c r="E33" s="95"/>
      <c r="F33" s="95"/>
      <c r="G33" s="95"/>
      <c r="H33" s="95"/>
      <c r="I33" s="95"/>
      <c r="J33" s="95"/>
      <c r="K33" s="83"/>
      <c r="L33" s="83"/>
      <c r="M33" s="83"/>
      <c r="N33" s="83"/>
      <c r="O33" s="83"/>
      <c r="P33" s="83"/>
      <c r="Q33" s="83"/>
      <c r="R33" s="83"/>
      <c r="S33" s="83"/>
      <c r="T33" s="95"/>
    </row>
    <row r="34" spans="1:20" ht="20.25" customHeight="1">
      <c r="A34" s="76"/>
      <c r="B34" s="83"/>
      <c r="C34" s="103"/>
      <c r="D34" s="103"/>
      <c r="E34" s="103"/>
      <c r="F34" s="83"/>
      <c r="G34" s="83"/>
      <c r="H34" s="83"/>
      <c r="I34" s="83"/>
      <c r="J34" s="83"/>
      <c r="K34" s="83"/>
      <c r="L34" s="83"/>
      <c r="M34" s="83"/>
      <c r="N34" s="83"/>
      <c r="O34" s="83"/>
      <c r="P34" s="83"/>
      <c r="Q34" s="83"/>
      <c r="R34" s="83"/>
      <c r="S34" s="83"/>
      <c r="T34" s="95"/>
    </row>
    <row r="35" spans="1:20" ht="20.25" customHeight="1" thickBot="1">
      <c r="A35" s="76"/>
      <c r="B35" s="83"/>
      <c r="C35" s="103"/>
      <c r="D35" s="103"/>
      <c r="E35" s="270" t="s">
        <v>152</v>
      </c>
      <c r="F35" s="106" t="s">
        <v>153</v>
      </c>
      <c r="G35" s="106"/>
      <c r="H35" s="95"/>
      <c r="I35" s="95"/>
      <c r="J35" s="95"/>
      <c r="K35" s="83"/>
      <c r="L35" s="217" t="s">
        <v>117</v>
      </c>
      <c r="M35" s="217"/>
      <c r="N35" s="217"/>
      <c r="O35" s="217"/>
      <c r="P35" s="217"/>
      <c r="Q35" s="217"/>
      <c r="R35" s="217"/>
      <c r="S35" s="217"/>
      <c r="T35" s="217"/>
    </row>
    <row r="36" spans="1:20" ht="20.25" customHeight="1" thickBot="1">
      <c r="A36" s="76"/>
      <c r="B36" s="83"/>
      <c r="C36" s="83"/>
      <c r="D36" s="83"/>
      <c r="E36" s="270" t="s">
        <v>70</v>
      </c>
      <c r="F36" s="271">
        <v>2</v>
      </c>
      <c r="G36" s="83"/>
      <c r="H36" s="193"/>
      <c r="I36" s="193" t="s">
        <v>134</v>
      </c>
      <c r="J36" s="83"/>
      <c r="L36" s="217"/>
      <c r="M36" s="217"/>
      <c r="N36" s="217"/>
      <c r="O36" s="217"/>
      <c r="P36" s="217"/>
      <c r="Q36" s="217"/>
      <c r="R36" s="217"/>
      <c r="S36" s="217"/>
      <c r="T36" s="217"/>
    </row>
    <row r="37" spans="1:20" ht="20.25" customHeight="1">
      <c r="A37" s="76"/>
      <c r="B37" s="104"/>
      <c r="C37" s="103"/>
      <c r="D37" s="103"/>
      <c r="E37" s="270" t="s">
        <v>85</v>
      </c>
      <c r="F37" s="272">
        <v>1</v>
      </c>
      <c r="G37" s="103"/>
      <c r="H37" s="192" t="s">
        <v>128</v>
      </c>
      <c r="I37" s="192">
        <v>-31115.144865709535</v>
      </c>
      <c r="J37" s="103"/>
      <c r="K37" s="103"/>
      <c r="L37" s="224" t="s">
        <v>118</v>
      </c>
      <c r="M37" s="224"/>
      <c r="N37" s="217"/>
      <c r="O37" s="217"/>
      <c r="P37" s="217"/>
      <c r="Q37" s="217"/>
      <c r="R37" s="217"/>
      <c r="S37" s="217"/>
      <c r="T37" s="217"/>
    </row>
    <row r="38" spans="1:20" ht="20.25" customHeight="1">
      <c r="A38" s="83"/>
      <c r="B38" s="83"/>
      <c r="C38" s="103"/>
      <c r="D38" s="103"/>
      <c r="E38" s="270" t="s">
        <v>86</v>
      </c>
      <c r="F38" s="272">
        <v>1</v>
      </c>
      <c r="G38" s="103"/>
      <c r="H38" s="192" t="s">
        <v>74</v>
      </c>
      <c r="I38" s="192">
        <v>279.22610835038478</v>
      </c>
      <c r="J38" s="103"/>
      <c r="K38" s="103"/>
      <c r="L38" s="192" t="s">
        <v>119</v>
      </c>
      <c r="M38" s="192">
        <v>0.92278039708332005</v>
      </c>
      <c r="N38" s="217"/>
      <c r="O38" s="217"/>
      <c r="P38" s="217"/>
      <c r="Q38" s="217"/>
      <c r="R38" s="217"/>
      <c r="S38" s="217"/>
      <c r="T38" s="217"/>
    </row>
    <row r="39" spans="1:20" s="65" customFormat="1" ht="19">
      <c r="B39" s="83"/>
      <c r="C39" s="103"/>
      <c r="D39" s="103"/>
      <c r="E39" s="270" t="s">
        <v>87</v>
      </c>
      <c r="F39" s="272">
        <v>2</v>
      </c>
      <c r="G39" s="103"/>
      <c r="H39" s="192" t="s">
        <v>76</v>
      </c>
      <c r="I39" s="192">
        <v>156.68447000280199</v>
      </c>
      <c r="J39" s="103"/>
      <c r="K39" s="103"/>
      <c r="L39" s="192" t="s">
        <v>120</v>
      </c>
      <c r="M39" s="192">
        <v>0.85152366124124979</v>
      </c>
      <c r="N39" s="217"/>
      <c r="O39" s="217"/>
      <c r="P39" s="217"/>
      <c r="Q39" s="217"/>
      <c r="R39" s="217"/>
      <c r="S39" s="217"/>
      <c r="T39" s="217"/>
    </row>
    <row r="40" spans="1:20" ht="20.25" customHeight="1">
      <c r="A40" s="83"/>
      <c r="B40" s="83"/>
      <c r="C40" s="103"/>
      <c r="D40" s="103"/>
      <c r="E40" s="270" t="s">
        <v>88</v>
      </c>
      <c r="F40" s="272">
        <v>1</v>
      </c>
      <c r="G40" s="103"/>
      <c r="H40" s="192" t="s">
        <v>78</v>
      </c>
      <c r="I40" s="192">
        <v>-1921.9914247620227</v>
      </c>
      <c r="J40" s="103"/>
      <c r="K40" s="103"/>
      <c r="L40" s="192" t="s">
        <v>121</v>
      </c>
      <c r="M40" s="192">
        <v>0.84546340251640273</v>
      </c>
      <c r="N40" s="217"/>
      <c r="O40" s="217"/>
      <c r="P40" s="217"/>
      <c r="Q40" s="217"/>
      <c r="R40" s="217"/>
      <c r="S40" s="217"/>
      <c r="T40" s="217"/>
    </row>
    <row r="41" spans="1:20" ht="20.25" customHeight="1">
      <c r="A41" s="83"/>
      <c r="B41" s="83"/>
      <c r="C41" s="103"/>
      <c r="D41" s="103"/>
      <c r="E41" s="270" t="s">
        <v>89</v>
      </c>
      <c r="F41" s="272">
        <v>1</v>
      </c>
      <c r="G41" s="103"/>
      <c r="H41" s="192" t="s">
        <v>81</v>
      </c>
      <c r="I41" s="192">
        <v>3.2210388846643014</v>
      </c>
      <c r="J41" s="103"/>
      <c r="K41" s="103"/>
      <c r="L41" s="192" t="s">
        <v>122</v>
      </c>
      <c r="M41" s="274">
        <v>3140.509175234964</v>
      </c>
      <c r="N41" s="217"/>
      <c r="O41" s="217"/>
      <c r="P41" s="217"/>
      <c r="Q41" s="217"/>
      <c r="R41" s="217"/>
      <c r="S41" s="217"/>
      <c r="T41" s="217"/>
    </row>
    <row r="42" spans="1:20" ht="20.25" customHeight="1" thickBot="1">
      <c r="A42" s="83"/>
      <c r="B42" s="83"/>
      <c r="D42" s="66"/>
      <c r="E42" s="270" t="s">
        <v>71</v>
      </c>
      <c r="F42" s="271">
        <v>90</v>
      </c>
      <c r="H42" s="192" t="s">
        <v>9</v>
      </c>
      <c r="I42" s="192">
        <v>2491.5545574880985</v>
      </c>
      <c r="K42" s="83"/>
      <c r="L42" s="194" t="s">
        <v>123</v>
      </c>
      <c r="M42" s="195">
        <v>205</v>
      </c>
      <c r="N42" s="217"/>
      <c r="O42" s="217"/>
      <c r="P42" s="217"/>
      <c r="Q42" s="217"/>
      <c r="R42" s="217"/>
      <c r="S42" s="217"/>
      <c r="T42" s="217"/>
    </row>
    <row r="43" spans="1:20" ht="20.25" customHeight="1">
      <c r="A43" s="83"/>
      <c r="B43" s="83"/>
      <c r="D43" s="66"/>
      <c r="E43" s="270" t="s">
        <v>72</v>
      </c>
      <c r="F43" s="271">
        <v>150</v>
      </c>
      <c r="H43" s="192" t="s">
        <v>8</v>
      </c>
      <c r="I43" s="192">
        <v>1693.8859256350627</v>
      </c>
      <c r="K43" s="83"/>
      <c r="L43" s="217"/>
      <c r="M43" s="217"/>
      <c r="N43" s="217"/>
      <c r="O43" s="217"/>
      <c r="P43" s="217"/>
      <c r="Q43" s="217"/>
      <c r="R43" s="217"/>
      <c r="S43" s="217"/>
      <c r="T43" s="217"/>
    </row>
    <row r="44" spans="1:20" s="105" customFormat="1" ht="20.25" customHeight="1" thickBot="1">
      <c r="A44" s="104"/>
      <c r="B44" s="83"/>
      <c r="C44" s="66"/>
      <c r="D44" s="66"/>
      <c r="E44" s="270" t="s">
        <v>73</v>
      </c>
      <c r="F44" s="271">
        <v>65</v>
      </c>
      <c r="G44" s="66"/>
      <c r="H44" s="192" t="s">
        <v>6</v>
      </c>
      <c r="I44" s="192">
        <v>-2395.9205000966545</v>
      </c>
      <c r="J44" s="66"/>
      <c r="K44" s="83"/>
      <c r="L44" s="217" t="s">
        <v>124</v>
      </c>
      <c r="M44" s="217"/>
      <c r="N44" s="217"/>
      <c r="O44" s="217"/>
      <c r="P44" s="217"/>
      <c r="Q44" s="217"/>
      <c r="R44" s="217"/>
      <c r="S44" s="217"/>
      <c r="T44" s="217"/>
    </row>
    <row r="45" spans="1:20" ht="20.25" customHeight="1" thickBot="1">
      <c r="A45" s="83"/>
      <c r="B45" s="83"/>
      <c r="D45" s="66"/>
      <c r="E45" s="270" t="s">
        <v>74</v>
      </c>
      <c r="F45" s="271">
        <v>52</v>
      </c>
      <c r="H45" s="194" t="s">
        <v>10</v>
      </c>
      <c r="I45" s="194">
        <v>7407.9362065765699</v>
      </c>
      <c r="K45" s="83"/>
      <c r="L45" s="193"/>
      <c r="M45" s="193" t="s">
        <v>129</v>
      </c>
      <c r="N45" s="193" t="s">
        <v>130</v>
      </c>
      <c r="O45" s="193" t="s">
        <v>131</v>
      </c>
      <c r="P45" s="193" t="s">
        <v>132</v>
      </c>
      <c r="Q45" s="193" t="s">
        <v>133</v>
      </c>
      <c r="R45" s="217"/>
      <c r="S45" s="217"/>
      <c r="T45" s="217"/>
    </row>
    <row r="46" spans="1:20" ht="20.25" customHeight="1">
      <c r="A46" s="83"/>
      <c r="B46" s="83"/>
      <c r="D46" s="66"/>
      <c r="E46" s="270" t="s">
        <v>75</v>
      </c>
      <c r="F46" s="271">
        <v>2400</v>
      </c>
      <c r="K46" s="83"/>
      <c r="L46" s="192" t="s">
        <v>125</v>
      </c>
      <c r="M46" s="192">
        <v>8</v>
      </c>
      <c r="N46" s="192">
        <v>11086530977.565125</v>
      </c>
      <c r="O46" s="192">
        <v>1385816372.1956406</v>
      </c>
      <c r="P46" s="192">
        <v>140.50945675801239</v>
      </c>
      <c r="Q46" s="192">
        <v>6.8723081180653043E-77</v>
      </c>
      <c r="R46" s="217"/>
      <c r="S46" s="217"/>
      <c r="T46" s="217"/>
    </row>
    <row r="47" spans="1:20" ht="20.25" customHeight="1">
      <c r="A47" s="83"/>
      <c r="B47" s="83"/>
      <c r="D47" s="66"/>
      <c r="E47" s="270" t="s">
        <v>76</v>
      </c>
      <c r="F47" s="271">
        <v>90</v>
      </c>
      <c r="K47" s="83"/>
      <c r="L47" s="192" t="s">
        <v>126</v>
      </c>
      <c r="M47" s="192">
        <v>196</v>
      </c>
      <c r="N47" s="192">
        <v>1933108384.4280589</v>
      </c>
      <c r="O47" s="192">
        <v>9862797.8797349948</v>
      </c>
      <c r="P47" s="192"/>
      <c r="Q47" s="192"/>
      <c r="R47" s="217"/>
      <c r="S47" s="217"/>
      <c r="T47" s="217"/>
    </row>
    <row r="48" spans="1:20" ht="20.25" customHeight="1" thickBot="1">
      <c r="A48" s="83"/>
      <c r="B48" s="83"/>
      <c r="D48" s="66"/>
      <c r="E48" s="270" t="s">
        <v>77</v>
      </c>
      <c r="F48" s="271">
        <v>3</v>
      </c>
      <c r="K48" s="83"/>
      <c r="L48" s="194" t="s">
        <v>127</v>
      </c>
      <c r="M48" s="194">
        <v>204</v>
      </c>
      <c r="N48" s="194">
        <v>13019639361.993183</v>
      </c>
      <c r="O48" s="194"/>
      <c r="P48" s="194"/>
      <c r="Q48" s="194"/>
      <c r="R48" s="217"/>
      <c r="S48" s="217"/>
      <c r="T48" s="217"/>
    </row>
    <row r="49" spans="1:20" ht="20.25" customHeight="1" thickBot="1">
      <c r="A49" s="83"/>
      <c r="B49" s="83"/>
      <c r="D49" s="66"/>
      <c r="E49" s="270" t="s">
        <v>78</v>
      </c>
      <c r="F49" s="271">
        <v>3.5</v>
      </c>
      <c r="K49" s="83"/>
      <c r="L49" s="217"/>
      <c r="M49" s="217"/>
      <c r="N49" s="217"/>
      <c r="O49" s="217"/>
      <c r="P49" s="217"/>
      <c r="Q49" s="217"/>
      <c r="R49" s="217"/>
      <c r="S49" s="217"/>
      <c r="T49" s="217"/>
    </row>
    <row r="50" spans="1:20" ht="20.25" customHeight="1">
      <c r="A50" s="83"/>
      <c r="B50" s="83"/>
      <c r="D50" s="66"/>
      <c r="E50" s="270" t="s">
        <v>79</v>
      </c>
      <c r="F50" s="271">
        <v>9</v>
      </c>
      <c r="K50" s="83"/>
      <c r="L50" s="193"/>
      <c r="M50" s="193" t="s">
        <v>134</v>
      </c>
      <c r="N50" s="193" t="s">
        <v>122</v>
      </c>
      <c r="O50" s="193" t="s">
        <v>135</v>
      </c>
      <c r="P50" s="193" t="s">
        <v>136</v>
      </c>
      <c r="Q50" s="193" t="s">
        <v>137</v>
      </c>
      <c r="R50" s="193" t="s">
        <v>138</v>
      </c>
      <c r="S50" s="193" t="s">
        <v>139</v>
      </c>
      <c r="T50" s="193" t="s">
        <v>140</v>
      </c>
    </row>
    <row r="51" spans="1:20" ht="20.25" customHeight="1">
      <c r="A51" s="83"/>
      <c r="B51" s="83"/>
      <c r="D51" s="66"/>
      <c r="E51" s="270" t="s">
        <v>80</v>
      </c>
      <c r="F51" s="271">
        <v>115</v>
      </c>
      <c r="K51" s="83"/>
      <c r="L51" s="192" t="s">
        <v>128</v>
      </c>
      <c r="M51" s="192">
        <v>-31115.144865709535</v>
      </c>
      <c r="N51" s="192">
        <v>7075.9209871233652</v>
      </c>
      <c r="O51" s="192">
        <v>-4.3973279128373992</v>
      </c>
      <c r="P51" s="192">
        <v>1.7957726064911906E-5</v>
      </c>
      <c r="Q51" s="192">
        <v>-45069.860325639085</v>
      </c>
      <c r="R51" s="192">
        <v>-17160.429405779989</v>
      </c>
      <c r="S51" s="192">
        <v>-45069.860325639085</v>
      </c>
      <c r="T51" s="192">
        <v>-17160.429405779989</v>
      </c>
    </row>
    <row r="52" spans="1:20" ht="20.25" customHeight="1">
      <c r="A52" s="83"/>
      <c r="B52" s="83"/>
      <c r="C52" s="83"/>
      <c r="D52" s="83"/>
      <c r="E52" s="270" t="s">
        <v>81</v>
      </c>
      <c r="F52" s="271">
        <v>5500</v>
      </c>
      <c r="G52" s="83"/>
      <c r="H52" s="83"/>
      <c r="I52" s="83"/>
      <c r="J52" s="83"/>
      <c r="K52" s="83"/>
      <c r="L52" s="192" t="s">
        <v>74</v>
      </c>
      <c r="M52" s="192">
        <v>279.22610835038478</v>
      </c>
      <c r="N52" s="192">
        <v>97.442394605969184</v>
      </c>
      <c r="O52" s="192">
        <v>2.8655505591739612</v>
      </c>
      <c r="P52" s="192">
        <v>4.6171524608391154E-3</v>
      </c>
      <c r="Q52" s="192">
        <v>87.055945210494045</v>
      </c>
      <c r="R52" s="192">
        <v>471.39627149027552</v>
      </c>
      <c r="S52" s="192">
        <v>87.055945210494045</v>
      </c>
      <c r="T52" s="192">
        <v>471.39627149027552</v>
      </c>
    </row>
    <row r="53" spans="1:20" ht="20.25" customHeight="1">
      <c r="A53" s="83"/>
      <c r="B53" s="83"/>
      <c r="C53" s="83"/>
      <c r="D53" s="83"/>
      <c r="E53" s="270" t="s">
        <v>82</v>
      </c>
      <c r="F53" s="271">
        <v>20</v>
      </c>
      <c r="G53" s="83"/>
      <c r="H53" s="83"/>
      <c r="I53" s="83"/>
      <c r="J53" s="83"/>
      <c r="K53" s="83"/>
      <c r="L53" s="192" t="s">
        <v>76</v>
      </c>
      <c r="M53" s="192">
        <v>156.68447000280199</v>
      </c>
      <c r="N53" s="192">
        <v>6.9919314708602842</v>
      </c>
      <c r="O53" s="192">
        <v>22.40932575723938</v>
      </c>
      <c r="P53" s="192">
        <v>5.7329607467887543E-56</v>
      </c>
      <c r="Q53" s="192">
        <v>142.8953937300823</v>
      </c>
      <c r="R53" s="192">
        <v>170.47354627552167</v>
      </c>
      <c r="S53" s="192">
        <v>142.8953937300823</v>
      </c>
      <c r="T53" s="192">
        <v>170.47354627552167</v>
      </c>
    </row>
    <row r="54" spans="1:20" ht="20.25" customHeight="1">
      <c r="A54" s="83"/>
      <c r="B54" s="83"/>
      <c r="C54" s="83"/>
      <c r="D54" s="83"/>
      <c r="E54" s="270" t="s">
        <v>83</v>
      </c>
      <c r="F54" s="271">
        <v>40</v>
      </c>
      <c r="G54" s="83"/>
      <c r="H54" s="83"/>
      <c r="I54" s="83"/>
      <c r="J54" s="83"/>
      <c r="K54" s="83"/>
      <c r="L54" s="192" t="s">
        <v>78</v>
      </c>
      <c r="M54" s="192">
        <v>-1921.9914247620227</v>
      </c>
      <c r="N54" s="192">
        <v>810.13426388804453</v>
      </c>
      <c r="O54" s="192">
        <v>-2.3724356695369075</v>
      </c>
      <c r="P54" s="192">
        <v>1.863927395834418E-2</v>
      </c>
      <c r="Q54" s="192">
        <v>-3519.690601656469</v>
      </c>
      <c r="R54" s="192">
        <v>-324.29224786757635</v>
      </c>
      <c r="S54" s="192">
        <v>-3519.690601656469</v>
      </c>
      <c r="T54" s="192">
        <v>-324.29224786757635</v>
      </c>
    </row>
    <row r="55" spans="1:20" ht="20.25" customHeight="1">
      <c r="A55" s="83"/>
      <c r="B55" s="83"/>
      <c r="C55" s="83"/>
      <c r="D55" s="83"/>
      <c r="E55" s="270"/>
      <c r="F55" s="273">
        <f>I37+I38*F45+I39*F47+I40*F49+I41*F52+I42*0+I43*0+I44*0+I45*0</f>
        <v>8494.9589477492318</v>
      </c>
      <c r="G55" s="83"/>
      <c r="H55" s="83"/>
      <c r="I55" s="83"/>
      <c r="J55" s="83"/>
      <c r="K55" s="83"/>
      <c r="L55" s="192" t="s">
        <v>81</v>
      </c>
      <c r="M55" s="192">
        <v>3.2210388846643014</v>
      </c>
      <c r="N55" s="192">
        <v>0.57841251483937539</v>
      </c>
      <c r="O55" s="192">
        <v>5.5687572485508561</v>
      </c>
      <c r="P55" s="192">
        <v>8.3772621141229185E-8</v>
      </c>
      <c r="Q55" s="192">
        <v>2.0803277210243625</v>
      </c>
      <c r="R55" s="192">
        <v>4.3617500483042404</v>
      </c>
      <c r="S55" s="192">
        <v>2.0803277210243625</v>
      </c>
      <c r="T55" s="192">
        <v>4.3617500483042404</v>
      </c>
    </row>
    <row r="56" spans="1:20" ht="20.25" customHeight="1">
      <c r="A56" s="83"/>
      <c r="B56" s="83"/>
      <c r="C56" s="83"/>
      <c r="D56" s="83"/>
      <c r="E56" s="83"/>
      <c r="F56" s="83"/>
      <c r="G56" s="83"/>
      <c r="H56" s="83"/>
      <c r="I56" s="83"/>
      <c r="J56" s="83"/>
      <c r="K56" s="83"/>
      <c r="L56" s="192" t="s">
        <v>9</v>
      </c>
      <c r="M56" s="192">
        <v>2491.5545574880985</v>
      </c>
      <c r="N56" s="192">
        <v>955.49910988177066</v>
      </c>
      <c r="O56" s="192">
        <v>2.6075948493519712</v>
      </c>
      <c r="P56" s="192">
        <v>9.8198692523397291E-3</v>
      </c>
      <c r="Q56" s="192">
        <v>607.1753756288706</v>
      </c>
      <c r="R56" s="192">
        <v>4375.9337393473261</v>
      </c>
      <c r="S56" s="192">
        <v>607.1753756288706</v>
      </c>
      <c r="T56" s="192">
        <v>4375.9337393473261</v>
      </c>
    </row>
    <row r="57" spans="1:20" ht="20.25" customHeight="1">
      <c r="A57" s="83"/>
      <c r="B57" s="83"/>
      <c r="C57" s="83"/>
      <c r="D57" s="83"/>
      <c r="E57" s="83"/>
      <c r="F57" s="83"/>
      <c r="G57" s="83"/>
      <c r="H57" s="83"/>
      <c r="I57" s="83"/>
      <c r="J57" s="83"/>
      <c r="K57" s="83"/>
      <c r="L57" s="192" t="s">
        <v>8</v>
      </c>
      <c r="M57" s="192">
        <v>1693.8859256350627</v>
      </c>
      <c r="N57" s="192">
        <v>636.78465645295739</v>
      </c>
      <c r="O57" s="192">
        <v>2.6600608360609876</v>
      </c>
      <c r="P57" s="192">
        <v>8.4594417703959448E-3</v>
      </c>
      <c r="Q57" s="192">
        <v>438.05665532228431</v>
      </c>
      <c r="R57" s="192">
        <v>2949.715195947841</v>
      </c>
      <c r="S57" s="192">
        <v>438.05665532228431</v>
      </c>
      <c r="T57" s="192">
        <v>2949.715195947841</v>
      </c>
    </row>
    <row r="58" spans="1:20" ht="20.25" customHeight="1">
      <c r="A58" s="83"/>
      <c r="B58" s="83"/>
      <c r="C58" s="83"/>
      <c r="D58" s="83"/>
      <c r="E58" s="83"/>
      <c r="F58" s="83"/>
      <c r="G58" s="83"/>
      <c r="H58" s="83"/>
      <c r="I58" s="83"/>
      <c r="J58" s="83"/>
      <c r="K58" s="83"/>
      <c r="L58" s="192" t="s">
        <v>6</v>
      </c>
      <c r="M58" s="192">
        <v>-2395.9205000966545</v>
      </c>
      <c r="N58" s="192">
        <v>553.19758370107513</v>
      </c>
      <c r="O58" s="192">
        <v>-4.3310393441474426</v>
      </c>
      <c r="P58" s="192">
        <v>2.3671176103471433E-5</v>
      </c>
      <c r="Q58" s="192">
        <v>-3486.9042586373816</v>
      </c>
      <c r="R58" s="192">
        <v>-1304.936741555927</v>
      </c>
      <c r="S58" s="192">
        <v>-3486.9042586373816</v>
      </c>
      <c r="T58" s="192">
        <v>-1304.936741555927</v>
      </c>
    </row>
    <row r="59" spans="1:20" ht="20.25" customHeight="1" thickBot="1">
      <c r="A59" s="83"/>
      <c r="B59" s="83"/>
      <c r="C59" s="83"/>
      <c r="D59" s="83"/>
      <c r="G59" s="83"/>
      <c r="J59" s="83"/>
      <c r="K59" s="83"/>
      <c r="L59" s="194" t="s">
        <v>10</v>
      </c>
      <c r="M59" s="194">
        <v>7407.9362065765699</v>
      </c>
      <c r="N59" s="194">
        <v>1992.4187431648847</v>
      </c>
      <c r="O59" s="194">
        <v>3.7180618943632968</v>
      </c>
      <c r="P59" s="194">
        <v>2.6197297818258833E-4</v>
      </c>
      <c r="Q59" s="194">
        <v>3478.6050723690259</v>
      </c>
      <c r="R59" s="194">
        <v>11337.267340784114</v>
      </c>
      <c r="S59" s="194">
        <v>3478.6050723690259</v>
      </c>
      <c r="T59" s="194">
        <v>11337.267340784114</v>
      </c>
    </row>
    <row r="60" spans="1:20" ht="20.25" customHeight="1">
      <c r="A60" s="83"/>
      <c r="B60" s="83"/>
      <c r="C60" s="83"/>
      <c r="D60" s="83"/>
      <c r="G60" s="83"/>
      <c r="J60" s="83"/>
      <c r="K60" s="83"/>
      <c r="L60" s="83"/>
      <c r="M60" s="83"/>
      <c r="N60" s="83"/>
      <c r="O60" s="83"/>
      <c r="P60" s="83"/>
      <c r="Q60" s="83"/>
      <c r="R60" s="83"/>
      <c r="S60" s="83"/>
      <c r="T60" s="83"/>
    </row>
    <row r="61" spans="1:20" ht="20.25" customHeight="1">
      <c r="A61" s="83"/>
      <c r="B61" s="83"/>
      <c r="C61" s="83"/>
      <c r="D61" s="83"/>
      <c r="G61" s="83"/>
      <c r="J61" s="83"/>
      <c r="K61" s="83"/>
      <c r="L61" s="83"/>
      <c r="M61" s="83"/>
      <c r="N61" s="83"/>
      <c r="O61" s="83"/>
      <c r="P61" s="83"/>
      <c r="Q61" s="83"/>
      <c r="R61" s="83"/>
      <c r="S61" s="83"/>
      <c r="T61" s="83"/>
    </row>
    <row r="62" spans="1:20" ht="20.25" customHeight="1">
      <c r="A62" s="83"/>
      <c r="B62" s="83"/>
      <c r="C62" s="83"/>
      <c r="D62" s="83"/>
      <c r="G62" s="83"/>
      <c r="J62" s="83" t="s">
        <v>160</v>
      </c>
      <c r="K62" s="83"/>
      <c r="L62" s="83"/>
      <c r="M62" s="83"/>
      <c r="N62" s="83"/>
      <c r="O62" s="83"/>
      <c r="P62" s="83"/>
      <c r="Q62" s="83"/>
      <c r="R62" s="83"/>
      <c r="S62" s="83"/>
      <c r="T62" s="83"/>
    </row>
    <row r="63" spans="1:20" ht="20.25" customHeight="1">
      <c r="A63" s="83"/>
      <c r="B63" s="83"/>
      <c r="C63" s="83"/>
      <c r="D63" s="83"/>
      <c r="G63" s="83"/>
      <c r="J63" s="83"/>
      <c r="K63" s="83"/>
      <c r="L63" s="83"/>
      <c r="M63" s="83"/>
      <c r="N63" s="83"/>
      <c r="O63" s="83"/>
      <c r="P63" s="83"/>
      <c r="Q63" s="83"/>
      <c r="R63" s="83"/>
      <c r="S63" s="83"/>
      <c r="T63" s="83"/>
    </row>
    <row r="64" spans="1:20" ht="20.25" customHeight="1">
      <c r="A64" s="83"/>
      <c r="B64" s="83"/>
      <c r="C64" s="83"/>
      <c r="D64" s="83"/>
      <c r="G64" s="83"/>
      <c r="J64" s="83"/>
      <c r="K64" s="83"/>
      <c r="L64" s="83"/>
      <c r="M64" s="83"/>
      <c r="N64" s="83"/>
      <c r="O64" s="83"/>
      <c r="P64" s="83"/>
      <c r="Q64" s="83"/>
      <c r="R64" s="83"/>
      <c r="S64" s="83"/>
      <c r="T64" s="83"/>
    </row>
    <row r="65" spans="1:20" ht="20.25" customHeight="1">
      <c r="A65" s="83"/>
      <c r="B65" s="83"/>
      <c r="C65" s="83"/>
      <c r="D65" s="83"/>
      <c r="G65" s="83"/>
      <c r="J65" s="83"/>
      <c r="K65" s="83"/>
      <c r="L65" s="83"/>
      <c r="M65" s="83"/>
      <c r="N65" s="83"/>
      <c r="O65" s="83"/>
      <c r="P65" s="83"/>
      <c r="Q65" s="83"/>
      <c r="R65" s="83"/>
      <c r="S65" s="83"/>
      <c r="T65" s="83"/>
    </row>
    <row r="66" spans="1:20" ht="20.25" customHeight="1">
      <c r="A66" s="83"/>
      <c r="B66" s="83"/>
      <c r="C66" s="83"/>
      <c r="D66" s="83"/>
      <c r="G66" s="83"/>
      <c r="J66" s="83"/>
      <c r="K66" s="83"/>
      <c r="L66" s="83"/>
      <c r="M66" s="83"/>
      <c r="N66" s="83"/>
      <c r="O66" s="83"/>
      <c r="P66" s="83"/>
      <c r="Q66" s="83"/>
      <c r="R66" s="83"/>
      <c r="S66" s="83"/>
      <c r="T66" s="83"/>
    </row>
    <row r="67" spans="1:20" ht="20.25" customHeight="1">
      <c r="A67" s="83"/>
      <c r="B67" s="83"/>
      <c r="C67" s="83"/>
      <c r="D67" s="83"/>
      <c r="G67" s="83"/>
      <c r="H67" s="83"/>
      <c r="I67" s="83"/>
      <c r="J67" s="83"/>
      <c r="K67" s="83"/>
      <c r="L67" s="83"/>
      <c r="M67" s="83"/>
      <c r="N67" s="83"/>
      <c r="O67" s="83"/>
      <c r="P67" s="83"/>
      <c r="Q67" s="83"/>
      <c r="R67" s="83"/>
      <c r="S67" s="83"/>
      <c r="T67" s="83"/>
    </row>
    <row r="68" spans="1:20" ht="20.25" customHeight="1">
      <c r="A68" s="83"/>
      <c r="B68" s="83"/>
      <c r="C68" s="83"/>
      <c r="D68" s="83"/>
      <c r="E68" s="83"/>
      <c r="F68" s="83"/>
      <c r="G68" s="83"/>
      <c r="H68" s="83"/>
      <c r="I68" s="83"/>
      <c r="J68" s="83"/>
      <c r="K68" s="83"/>
      <c r="L68" s="83"/>
      <c r="M68" s="83"/>
      <c r="N68" s="83"/>
      <c r="O68" s="83"/>
      <c r="P68" s="83"/>
      <c r="Q68" s="83"/>
      <c r="R68" s="83"/>
      <c r="S68" s="83"/>
      <c r="T68" s="83"/>
    </row>
    <row r="69" spans="1:20" ht="20.25" customHeight="1">
      <c r="A69" s="83"/>
      <c r="B69" s="83"/>
      <c r="C69" s="83"/>
      <c r="D69" s="83"/>
      <c r="E69" s="83"/>
      <c r="F69" s="83"/>
      <c r="G69" s="83"/>
      <c r="H69" s="83"/>
      <c r="I69" s="83"/>
      <c r="J69" s="83"/>
      <c r="K69" s="83"/>
      <c r="L69" s="83"/>
      <c r="M69" s="83"/>
      <c r="N69" s="83"/>
      <c r="O69" s="83"/>
      <c r="P69" s="83"/>
      <c r="Q69" s="83"/>
      <c r="R69" s="83"/>
      <c r="S69" s="83"/>
      <c r="T69" s="83"/>
    </row>
    <row r="70" spans="1:20" ht="20.25" customHeight="1">
      <c r="A70" s="83"/>
      <c r="B70" s="83"/>
      <c r="C70" s="83"/>
      <c r="D70" s="83"/>
      <c r="E70" s="83"/>
      <c r="F70" s="83"/>
      <c r="G70" s="83"/>
      <c r="H70" s="83"/>
      <c r="I70" s="83"/>
      <c r="J70" s="83"/>
      <c r="K70" s="83"/>
      <c r="L70" s="83"/>
      <c r="M70" s="83"/>
      <c r="N70" s="83"/>
      <c r="O70" s="83"/>
      <c r="P70" s="83"/>
      <c r="Q70" s="83"/>
      <c r="R70" s="83"/>
      <c r="S70" s="83"/>
      <c r="T70" s="83"/>
    </row>
    <row r="71" spans="1:20" ht="20.25" customHeight="1">
      <c r="A71" s="83"/>
      <c r="B71" s="83"/>
      <c r="C71" s="83"/>
      <c r="D71" s="83"/>
      <c r="E71" s="83"/>
      <c r="F71" s="83"/>
      <c r="G71" s="83"/>
      <c r="H71" s="83"/>
      <c r="I71" s="83"/>
      <c r="J71" s="83"/>
      <c r="K71" s="83"/>
      <c r="L71" s="83"/>
      <c r="M71" s="83"/>
      <c r="N71" s="83"/>
      <c r="O71" s="83"/>
      <c r="P71" s="83"/>
      <c r="Q71" s="83"/>
      <c r="R71" s="83"/>
      <c r="S71" s="83"/>
      <c r="T71" s="83"/>
    </row>
    <row r="72" spans="1:20" ht="20.25" customHeight="1">
      <c r="A72" s="83"/>
      <c r="B72" s="83"/>
      <c r="C72" s="83"/>
      <c r="D72" s="83"/>
      <c r="E72" s="83"/>
      <c r="F72" s="83"/>
      <c r="G72" s="83"/>
      <c r="H72" s="83"/>
      <c r="I72" s="83"/>
      <c r="J72" s="83"/>
      <c r="K72" s="83"/>
      <c r="L72" s="83"/>
      <c r="M72" s="83"/>
      <c r="N72" s="83"/>
      <c r="O72" s="83"/>
      <c r="P72" s="83"/>
      <c r="Q72" s="83"/>
      <c r="R72" s="83"/>
      <c r="S72" s="83"/>
      <c r="T72" s="83"/>
    </row>
    <row r="73" spans="1:20" ht="20.25" customHeight="1">
      <c r="A73" s="83"/>
      <c r="B73" s="83"/>
      <c r="C73" s="83"/>
      <c r="D73" s="83"/>
      <c r="E73" s="83"/>
      <c r="F73" s="83"/>
      <c r="G73" s="83"/>
      <c r="H73" s="83"/>
      <c r="I73" s="83"/>
      <c r="J73" s="83"/>
      <c r="K73" s="83"/>
      <c r="L73" s="83"/>
      <c r="M73" s="83"/>
      <c r="N73" s="83"/>
      <c r="O73" s="83"/>
      <c r="P73" s="83"/>
      <c r="Q73" s="83"/>
      <c r="R73" s="83"/>
      <c r="S73" s="83"/>
      <c r="T73" s="83"/>
    </row>
    <row r="74" spans="1:20" ht="20.25" customHeight="1">
      <c r="A74" s="83"/>
      <c r="B74" s="83"/>
      <c r="C74" s="83"/>
      <c r="D74" s="83"/>
      <c r="E74" s="83"/>
      <c r="F74" s="83"/>
      <c r="G74" s="83"/>
      <c r="H74" s="83"/>
      <c r="I74" s="83"/>
      <c r="J74" s="83"/>
      <c r="K74" s="83"/>
      <c r="L74" s="83"/>
      <c r="M74" s="83"/>
      <c r="N74" s="83"/>
      <c r="O74" s="83"/>
      <c r="P74" s="83"/>
      <c r="Q74" s="83"/>
      <c r="R74" s="83"/>
      <c r="S74" s="83"/>
      <c r="T74" s="83"/>
    </row>
    <row r="75" spans="1:20" ht="20.25" customHeight="1">
      <c r="A75" s="83"/>
      <c r="B75" s="83"/>
      <c r="C75" s="83"/>
      <c r="D75" s="83"/>
      <c r="E75" s="83"/>
      <c r="F75" s="83"/>
      <c r="G75" s="83"/>
      <c r="H75" s="83"/>
      <c r="I75" s="83"/>
      <c r="J75" s="83"/>
      <c r="K75" s="83"/>
      <c r="L75" s="83"/>
      <c r="M75" s="83"/>
      <c r="N75" s="83"/>
      <c r="O75" s="83"/>
      <c r="P75" s="83"/>
      <c r="Q75" s="83"/>
      <c r="R75" s="83"/>
      <c r="S75" s="83"/>
      <c r="T75" s="83"/>
    </row>
    <row r="76" spans="1:20" ht="20.25" customHeight="1">
      <c r="A76" s="83"/>
      <c r="B76" s="83"/>
      <c r="C76" s="83"/>
      <c r="D76" s="83"/>
      <c r="E76" s="83"/>
      <c r="F76" s="83"/>
      <c r="G76" s="83"/>
      <c r="H76" s="83"/>
      <c r="I76" s="83"/>
      <c r="J76" s="83"/>
      <c r="K76" s="83"/>
      <c r="L76" s="83"/>
      <c r="M76" s="83"/>
      <c r="N76" s="83"/>
      <c r="O76" s="83"/>
      <c r="P76" s="83"/>
      <c r="Q76" s="83"/>
      <c r="R76" s="83"/>
      <c r="S76" s="83"/>
      <c r="T76" s="83"/>
    </row>
    <row r="77" spans="1:20" ht="20.25" customHeight="1">
      <c r="A77" s="83"/>
      <c r="B77" s="83"/>
      <c r="C77" s="83"/>
      <c r="D77" s="83"/>
      <c r="E77" s="83"/>
      <c r="F77" s="83"/>
      <c r="G77" s="83"/>
      <c r="H77" s="83"/>
      <c r="I77" s="83"/>
      <c r="J77" s="83"/>
      <c r="K77" s="83"/>
      <c r="L77" s="83"/>
      <c r="M77" s="83"/>
      <c r="N77" s="83"/>
      <c r="O77" s="83"/>
      <c r="P77" s="83"/>
      <c r="Q77" s="83"/>
      <c r="R77" s="83"/>
      <c r="S77" s="83"/>
      <c r="T77" s="83"/>
    </row>
    <row r="78" spans="1:20" ht="20.25" customHeight="1">
      <c r="A78" s="83"/>
      <c r="B78" s="83"/>
      <c r="C78" s="83"/>
      <c r="D78" s="83"/>
      <c r="E78" s="83"/>
      <c r="F78" s="83"/>
      <c r="G78" s="83"/>
      <c r="H78" s="83"/>
      <c r="I78" s="83"/>
      <c r="J78" s="83"/>
      <c r="K78" s="83"/>
      <c r="L78" s="83"/>
      <c r="M78" s="83"/>
      <c r="N78" s="83"/>
      <c r="O78" s="83"/>
      <c r="P78" s="83"/>
      <c r="Q78" s="83"/>
      <c r="R78" s="83"/>
      <c r="S78" s="83"/>
      <c r="T78" s="83"/>
    </row>
    <row r="79" spans="1:20" ht="20.25" customHeight="1">
      <c r="A79" s="83"/>
      <c r="B79" s="83"/>
      <c r="C79" s="83"/>
      <c r="D79" s="83"/>
      <c r="E79" s="83"/>
      <c r="F79" s="83"/>
      <c r="G79" s="83"/>
      <c r="H79" s="83"/>
      <c r="I79" s="83"/>
      <c r="J79" s="83"/>
      <c r="K79" s="83"/>
      <c r="L79" s="83"/>
      <c r="M79" s="83"/>
      <c r="N79" s="83"/>
      <c r="O79" s="83"/>
      <c r="P79" s="83"/>
      <c r="Q79" s="83"/>
      <c r="R79" s="83"/>
      <c r="S79" s="83"/>
      <c r="T79" s="83"/>
    </row>
    <row r="80" spans="1:20" ht="20.25" customHeight="1">
      <c r="A80" s="83"/>
      <c r="B80" s="83"/>
      <c r="C80" s="83"/>
      <c r="D80" s="83"/>
      <c r="E80" s="83"/>
      <c r="F80" s="83"/>
      <c r="G80" s="83"/>
      <c r="H80" s="83"/>
      <c r="I80" s="83"/>
      <c r="J80" s="83"/>
      <c r="K80" s="83"/>
      <c r="L80" s="83"/>
      <c r="M80" s="83"/>
      <c r="N80" s="83"/>
      <c r="O80" s="83"/>
      <c r="P80" s="83"/>
      <c r="Q80" s="83"/>
      <c r="R80" s="83"/>
      <c r="S80" s="83"/>
      <c r="T80" s="83"/>
    </row>
    <row r="81" spans="1:20" ht="20.25" customHeight="1">
      <c r="A81" s="83"/>
      <c r="B81" s="83"/>
      <c r="C81" s="83"/>
      <c r="D81" s="83"/>
      <c r="E81" s="83"/>
      <c r="F81" s="83"/>
      <c r="G81" s="83"/>
      <c r="H81" s="83"/>
      <c r="I81" s="83"/>
      <c r="J81" s="83"/>
      <c r="K81" s="83"/>
      <c r="L81" s="83"/>
      <c r="M81" s="83"/>
      <c r="N81" s="83"/>
      <c r="O81" s="83"/>
      <c r="P81" s="83"/>
      <c r="Q81" s="83"/>
      <c r="R81" s="83"/>
      <c r="S81" s="83"/>
      <c r="T81" s="83"/>
    </row>
    <row r="82" spans="1:20" ht="20.25" customHeight="1">
      <c r="A82" s="83"/>
      <c r="B82" s="83"/>
      <c r="C82" s="83"/>
      <c r="D82" s="83"/>
      <c r="E82" s="83"/>
      <c r="F82" s="83"/>
      <c r="G82" s="83"/>
      <c r="H82" s="83"/>
      <c r="I82" s="83"/>
      <c r="J82" s="83"/>
      <c r="K82" s="83"/>
      <c r="L82" s="83"/>
      <c r="M82" s="83"/>
      <c r="N82" s="83"/>
      <c r="O82" s="83"/>
      <c r="P82" s="83"/>
      <c r="Q82" s="83"/>
      <c r="R82" s="83"/>
      <c r="S82" s="83"/>
      <c r="T82" s="83"/>
    </row>
    <row r="83" spans="1:20" ht="20.25" customHeight="1">
      <c r="A83" s="83"/>
      <c r="B83" s="83"/>
      <c r="C83" s="83"/>
      <c r="D83" s="83"/>
      <c r="E83" s="83"/>
      <c r="F83" s="83"/>
      <c r="G83" s="83"/>
      <c r="H83" s="83"/>
      <c r="I83" s="83"/>
      <c r="J83" s="83"/>
      <c r="K83" s="83"/>
      <c r="L83" s="83"/>
      <c r="M83" s="83"/>
      <c r="N83" s="83"/>
      <c r="O83" s="83"/>
      <c r="P83" s="83"/>
      <c r="Q83" s="83"/>
      <c r="R83" s="83"/>
      <c r="S83" s="83"/>
      <c r="T83" s="83"/>
    </row>
    <row r="84" spans="1:20" ht="20.25" customHeight="1">
      <c r="A84" s="83"/>
      <c r="B84" s="83"/>
      <c r="C84" s="83"/>
      <c r="D84" s="83"/>
      <c r="E84" s="83"/>
      <c r="F84" s="83"/>
      <c r="G84" s="83"/>
      <c r="H84" s="83"/>
      <c r="I84" s="83"/>
      <c r="J84" s="83"/>
      <c r="K84" s="83"/>
      <c r="L84" s="83"/>
      <c r="M84" s="83"/>
      <c r="N84" s="83"/>
      <c r="O84" s="83"/>
      <c r="P84" s="83"/>
      <c r="Q84" s="83"/>
      <c r="R84" s="83"/>
      <c r="S84" s="83"/>
      <c r="T84" s="83"/>
    </row>
    <row r="85" spans="1:20" ht="20.25" customHeight="1">
      <c r="A85" s="83"/>
      <c r="B85" s="83"/>
      <c r="C85" s="83"/>
      <c r="D85" s="83"/>
      <c r="E85" s="83"/>
      <c r="F85" s="83"/>
      <c r="G85" s="83"/>
      <c r="H85" s="83"/>
      <c r="I85" s="83"/>
      <c r="J85" s="83"/>
      <c r="K85" s="83"/>
      <c r="L85" s="83"/>
      <c r="M85" s="83"/>
      <c r="N85" s="83"/>
      <c r="O85" s="83"/>
      <c r="P85" s="83"/>
      <c r="Q85" s="83"/>
      <c r="R85" s="83"/>
      <c r="S85" s="83"/>
      <c r="T85" s="83"/>
    </row>
    <row r="86" spans="1:20" ht="20.25" customHeight="1">
      <c r="A86" s="83"/>
      <c r="B86" s="83"/>
      <c r="C86" s="83"/>
      <c r="D86" s="83"/>
      <c r="E86" s="83"/>
      <c r="F86" s="83"/>
      <c r="G86" s="83"/>
      <c r="H86" s="83"/>
      <c r="I86" s="83"/>
      <c r="J86" s="83"/>
      <c r="K86" s="83"/>
      <c r="L86" s="83"/>
      <c r="M86" s="83"/>
      <c r="N86" s="83"/>
      <c r="O86" s="83"/>
      <c r="P86" s="83"/>
      <c r="Q86" s="83"/>
      <c r="R86" s="83"/>
      <c r="S86" s="83"/>
      <c r="T86" s="83"/>
    </row>
    <row r="87" spans="1:20" ht="20.25" customHeight="1">
      <c r="A87" s="83"/>
      <c r="B87" s="83"/>
      <c r="C87" s="83"/>
      <c r="D87" s="83"/>
      <c r="E87" s="83"/>
      <c r="F87" s="83"/>
      <c r="G87" s="83"/>
      <c r="H87" s="83"/>
      <c r="I87" s="83"/>
      <c r="J87" s="83"/>
      <c r="K87" s="83"/>
      <c r="L87" s="83"/>
      <c r="M87" s="83"/>
      <c r="N87" s="83"/>
      <c r="O87" s="83"/>
      <c r="P87" s="83"/>
      <c r="Q87" s="83"/>
      <c r="R87" s="83"/>
      <c r="S87" s="83"/>
      <c r="T87" s="83"/>
    </row>
    <row r="88" spans="1:20" ht="20.25" customHeight="1">
      <c r="A88" s="83"/>
      <c r="B88" s="83"/>
      <c r="C88" s="83"/>
      <c r="D88" s="83"/>
      <c r="E88" s="83"/>
      <c r="F88" s="83"/>
      <c r="G88" s="83"/>
      <c r="H88" s="83"/>
      <c r="I88" s="83"/>
      <c r="J88" s="83"/>
      <c r="K88" s="83"/>
      <c r="L88" s="83"/>
      <c r="M88" s="83"/>
      <c r="N88" s="83"/>
      <c r="O88" s="83"/>
      <c r="P88" s="83"/>
      <c r="Q88" s="83"/>
      <c r="R88" s="83"/>
      <c r="S88" s="83"/>
      <c r="T88" s="83"/>
    </row>
    <row r="89" spans="1:20" ht="20.25" customHeight="1">
      <c r="A89" s="83"/>
      <c r="B89" s="83"/>
      <c r="C89" s="83"/>
      <c r="D89" s="83"/>
      <c r="E89" s="83"/>
      <c r="F89" s="83"/>
      <c r="G89" s="83"/>
      <c r="H89" s="83"/>
      <c r="I89" s="83"/>
      <c r="J89" s="83"/>
      <c r="K89" s="83"/>
      <c r="L89" s="83"/>
      <c r="M89" s="83"/>
      <c r="N89" s="83"/>
      <c r="O89" s="83"/>
      <c r="P89" s="83"/>
      <c r="Q89" s="83"/>
      <c r="R89" s="83"/>
      <c r="S89" s="83"/>
      <c r="T89" s="83"/>
    </row>
    <row r="90" spans="1:20" ht="20.25" customHeight="1">
      <c r="A90" s="83"/>
      <c r="B90" s="83"/>
      <c r="C90" s="83"/>
      <c r="D90" s="83"/>
      <c r="E90" s="83"/>
      <c r="F90" s="83"/>
      <c r="G90" s="83"/>
      <c r="H90" s="83"/>
      <c r="I90" s="83"/>
      <c r="J90" s="83"/>
      <c r="K90" s="83"/>
      <c r="L90" s="83"/>
      <c r="M90" s="83"/>
      <c r="N90" s="83"/>
      <c r="O90" s="83"/>
      <c r="P90" s="83"/>
      <c r="Q90" s="83"/>
      <c r="R90" s="83"/>
      <c r="S90" s="83"/>
      <c r="T90" s="83"/>
    </row>
    <row r="91" spans="1:20" ht="20.25" customHeight="1">
      <c r="A91" s="83"/>
      <c r="B91" s="83"/>
      <c r="C91" s="83"/>
      <c r="D91" s="83"/>
      <c r="E91" s="83"/>
      <c r="F91" s="83"/>
      <c r="G91" s="83"/>
      <c r="H91" s="83"/>
      <c r="I91" s="83"/>
      <c r="J91" s="83"/>
      <c r="K91" s="83"/>
      <c r="L91" s="83"/>
      <c r="M91" s="83"/>
      <c r="N91" s="83"/>
      <c r="O91" s="83"/>
      <c r="P91" s="83"/>
      <c r="Q91" s="83"/>
      <c r="R91" s="83"/>
      <c r="S91" s="83"/>
      <c r="T91" s="83"/>
    </row>
    <row r="92" spans="1:20" ht="20.25" customHeight="1">
      <c r="A92" s="83"/>
      <c r="B92" s="83"/>
      <c r="C92" s="83"/>
      <c r="D92" s="83"/>
      <c r="E92" s="83"/>
      <c r="F92" s="83"/>
      <c r="G92" s="83"/>
      <c r="H92" s="83"/>
      <c r="I92" s="83"/>
      <c r="J92" s="83"/>
      <c r="K92" s="83"/>
      <c r="L92" s="83"/>
      <c r="M92" s="83"/>
      <c r="N92" s="83"/>
      <c r="O92" s="83"/>
      <c r="P92" s="83"/>
      <c r="Q92" s="83"/>
      <c r="R92" s="83"/>
      <c r="S92" s="83"/>
      <c r="T92" s="83"/>
    </row>
    <row r="93" spans="1:20" ht="20.25" customHeight="1">
      <c r="A93" s="83"/>
      <c r="B93" s="83"/>
      <c r="C93" s="83"/>
      <c r="D93" s="83"/>
      <c r="E93" s="83"/>
      <c r="F93" s="83"/>
      <c r="G93" s="83"/>
      <c r="H93" s="83"/>
      <c r="I93" s="83"/>
      <c r="J93" s="83"/>
      <c r="K93" s="83"/>
      <c r="L93" s="83"/>
      <c r="M93" s="83"/>
      <c r="N93" s="83"/>
      <c r="O93" s="83"/>
      <c r="P93" s="83"/>
      <c r="Q93" s="83"/>
      <c r="R93" s="83"/>
      <c r="S93" s="83"/>
      <c r="T93" s="83"/>
    </row>
    <row r="94" spans="1:20" ht="20.25" customHeight="1">
      <c r="A94" s="83"/>
      <c r="B94" s="83"/>
      <c r="C94" s="83"/>
      <c r="D94" s="83"/>
      <c r="E94" s="83"/>
      <c r="F94" s="83"/>
      <c r="G94" s="83"/>
      <c r="H94" s="83"/>
      <c r="I94" s="83"/>
      <c r="J94" s="83"/>
      <c r="K94" s="83"/>
      <c r="L94" s="83"/>
      <c r="M94" s="83"/>
      <c r="N94" s="83"/>
      <c r="O94" s="83"/>
      <c r="P94" s="83"/>
      <c r="Q94" s="83"/>
      <c r="R94" s="83"/>
      <c r="S94" s="83"/>
      <c r="T94" s="83"/>
    </row>
    <row r="95" spans="1:20" ht="20.25" customHeight="1">
      <c r="A95" s="83"/>
      <c r="B95" s="83"/>
      <c r="C95" s="83"/>
      <c r="D95" s="83"/>
      <c r="E95" s="83"/>
      <c r="F95" s="83"/>
      <c r="G95" s="83"/>
      <c r="H95" s="83"/>
      <c r="I95" s="83"/>
      <c r="J95" s="83"/>
      <c r="K95" s="83"/>
      <c r="L95" s="83"/>
      <c r="M95" s="83"/>
      <c r="N95" s="83"/>
      <c r="O95" s="83"/>
      <c r="P95" s="83"/>
      <c r="Q95" s="83"/>
      <c r="R95" s="83"/>
      <c r="S95" s="83"/>
      <c r="T95" s="83"/>
    </row>
    <row r="96" spans="1:20" ht="20.25" customHeight="1">
      <c r="A96" s="83"/>
      <c r="B96" s="83"/>
      <c r="C96" s="83"/>
      <c r="D96" s="83"/>
      <c r="E96" s="83"/>
      <c r="F96" s="83"/>
      <c r="G96" s="83"/>
      <c r="H96" s="83"/>
      <c r="I96" s="83"/>
      <c r="J96" s="83"/>
      <c r="K96" s="83"/>
      <c r="L96" s="83"/>
      <c r="M96" s="83"/>
      <c r="N96" s="83"/>
      <c r="O96" s="83"/>
      <c r="P96" s="83"/>
      <c r="Q96" s="83"/>
      <c r="R96" s="83"/>
      <c r="S96" s="83"/>
      <c r="T96" s="83"/>
    </row>
    <row r="97" spans="1:20" ht="20.25" customHeight="1">
      <c r="A97" s="83"/>
      <c r="B97" s="83"/>
      <c r="C97" s="83"/>
      <c r="D97" s="83"/>
      <c r="E97" s="83"/>
      <c r="F97" s="83"/>
      <c r="G97" s="83"/>
      <c r="H97" s="83"/>
      <c r="I97" s="83"/>
      <c r="J97" s="83"/>
      <c r="K97" s="83"/>
      <c r="L97" s="83"/>
      <c r="M97" s="83"/>
      <c r="N97" s="83"/>
      <c r="O97" s="83"/>
      <c r="P97" s="83"/>
      <c r="Q97" s="83"/>
      <c r="R97" s="83"/>
      <c r="S97" s="83"/>
      <c r="T97" s="83"/>
    </row>
    <row r="98" spans="1:20" ht="20.25" customHeight="1">
      <c r="A98" s="83"/>
      <c r="B98" s="83"/>
      <c r="C98" s="83"/>
      <c r="D98" s="83"/>
      <c r="E98" s="83"/>
      <c r="F98" s="83"/>
      <c r="G98" s="83"/>
      <c r="H98" s="83"/>
      <c r="I98" s="83"/>
      <c r="J98" s="83"/>
      <c r="K98" s="83"/>
      <c r="L98" s="83"/>
      <c r="M98" s="83"/>
      <c r="N98" s="83"/>
      <c r="O98" s="83"/>
      <c r="P98" s="83"/>
      <c r="Q98" s="83"/>
      <c r="R98" s="83"/>
      <c r="S98" s="83"/>
      <c r="T98" s="83"/>
    </row>
    <row r="99" spans="1:20" ht="20.25" customHeight="1">
      <c r="A99" s="83"/>
      <c r="B99" s="83"/>
      <c r="C99" s="83"/>
      <c r="D99" s="83"/>
      <c r="E99" s="83"/>
      <c r="F99" s="83"/>
      <c r="G99" s="83"/>
      <c r="H99" s="83"/>
      <c r="I99" s="83"/>
      <c r="J99" s="83"/>
      <c r="K99" s="83"/>
      <c r="L99" s="83"/>
      <c r="M99" s="83"/>
      <c r="N99" s="83"/>
      <c r="O99" s="83"/>
      <c r="P99" s="83"/>
      <c r="Q99" s="83"/>
      <c r="R99" s="83"/>
      <c r="S99" s="83"/>
      <c r="T99" s="83"/>
    </row>
    <row r="100" spans="1:20" ht="20.25" customHeight="1">
      <c r="A100" s="83"/>
      <c r="B100" s="83"/>
      <c r="C100" s="83"/>
      <c r="D100" s="83"/>
      <c r="E100" s="83"/>
      <c r="F100" s="83"/>
      <c r="G100" s="83"/>
      <c r="H100" s="83"/>
      <c r="I100" s="83"/>
      <c r="J100" s="83"/>
      <c r="K100" s="83"/>
      <c r="L100" s="83"/>
      <c r="M100" s="83"/>
      <c r="N100" s="83"/>
      <c r="O100" s="83"/>
      <c r="P100" s="83"/>
      <c r="Q100" s="83"/>
      <c r="R100" s="83"/>
      <c r="S100" s="83"/>
      <c r="T100" s="83"/>
    </row>
    <row r="101" spans="1:20" ht="20.25" customHeight="1">
      <c r="A101" s="83"/>
      <c r="B101" s="83"/>
      <c r="C101" s="83"/>
      <c r="D101" s="83"/>
      <c r="E101" s="83"/>
      <c r="F101" s="83"/>
      <c r="G101" s="83"/>
      <c r="H101" s="83"/>
      <c r="I101" s="83"/>
      <c r="J101" s="83"/>
      <c r="K101" s="83"/>
      <c r="L101" s="83"/>
      <c r="M101" s="83"/>
      <c r="N101" s="83"/>
      <c r="O101" s="83"/>
      <c r="P101" s="83"/>
      <c r="Q101" s="83"/>
      <c r="R101" s="83"/>
      <c r="S101" s="83"/>
      <c r="T101" s="83"/>
    </row>
    <row r="102" spans="1:20" ht="20.25" customHeight="1">
      <c r="A102" s="83"/>
      <c r="B102" s="83"/>
      <c r="C102" s="83"/>
      <c r="D102" s="83"/>
      <c r="E102" s="83"/>
      <c r="F102" s="83"/>
      <c r="G102" s="83"/>
      <c r="H102" s="83"/>
      <c r="I102" s="83"/>
      <c r="J102" s="83"/>
      <c r="K102" s="83"/>
      <c r="L102" s="83"/>
      <c r="M102" s="83"/>
      <c r="N102" s="83"/>
      <c r="O102" s="83"/>
      <c r="P102" s="83"/>
      <c r="Q102" s="83"/>
      <c r="R102" s="83"/>
      <c r="S102" s="83"/>
      <c r="T102" s="83"/>
    </row>
    <row r="103" spans="1:20" ht="20.25" customHeight="1">
      <c r="A103" s="83"/>
      <c r="B103" s="83"/>
      <c r="C103" s="83"/>
      <c r="D103" s="83"/>
      <c r="E103" s="83"/>
      <c r="F103" s="83"/>
      <c r="G103" s="83"/>
      <c r="H103" s="83"/>
      <c r="I103" s="83"/>
      <c r="J103" s="83"/>
      <c r="K103" s="83"/>
      <c r="L103" s="83"/>
      <c r="M103" s="83"/>
      <c r="N103" s="83"/>
      <c r="O103" s="83"/>
      <c r="P103" s="83"/>
      <c r="Q103" s="83"/>
      <c r="R103" s="83"/>
      <c r="S103" s="83"/>
      <c r="T103" s="83"/>
    </row>
    <row r="104" spans="1:20" ht="20.25" customHeight="1">
      <c r="A104" s="83"/>
      <c r="B104" s="83"/>
      <c r="C104" s="83"/>
      <c r="D104" s="83"/>
      <c r="E104" s="83"/>
      <c r="F104" s="83"/>
      <c r="G104" s="83"/>
      <c r="H104" s="83"/>
      <c r="I104" s="83"/>
      <c r="J104" s="83"/>
      <c r="K104" s="83"/>
      <c r="L104" s="83"/>
      <c r="M104" s="83"/>
      <c r="N104" s="83"/>
      <c r="O104" s="83"/>
      <c r="P104" s="83"/>
      <c r="Q104" s="83"/>
      <c r="R104" s="83"/>
      <c r="S104" s="83"/>
      <c r="T104" s="83"/>
    </row>
    <row r="105" spans="1:20" ht="20.25" customHeight="1">
      <c r="A105" s="83"/>
      <c r="B105" s="83"/>
      <c r="C105" s="83"/>
      <c r="D105" s="83"/>
      <c r="E105" s="83"/>
      <c r="F105" s="83"/>
      <c r="G105" s="83"/>
      <c r="H105" s="83"/>
      <c r="I105" s="83"/>
      <c r="J105" s="83"/>
      <c r="K105" s="83"/>
      <c r="L105" s="83"/>
      <c r="M105" s="83"/>
      <c r="N105" s="83"/>
      <c r="O105" s="83"/>
      <c r="P105" s="83"/>
      <c r="Q105" s="83"/>
      <c r="R105" s="83"/>
      <c r="S105" s="83"/>
      <c r="T105" s="83"/>
    </row>
    <row r="106" spans="1:20" ht="20.25" customHeight="1">
      <c r="A106" s="83"/>
      <c r="B106" s="83"/>
      <c r="C106" s="83"/>
      <c r="D106" s="83"/>
      <c r="E106" s="83"/>
      <c r="F106" s="83"/>
      <c r="G106" s="83"/>
      <c r="H106" s="83"/>
      <c r="I106" s="83"/>
      <c r="J106" s="83"/>
      <c r="K106" s="83"/>
      <c r="L106" s="83"/>
      <c r="M106" s="83"/>
      <c r="N106" s="83"/>
      <c r="O106" s="83"/>
      <c r="P106" s="83"/>
      <c r="Q106" s="83"/>
      <c r="R106" s="83"/>
      <c r="S106" s="83"/>
      <c r="T106" s="83"/>
    </row>
    <row r="107" spans="1:20" ht="20.25" customHeight="1">
      <c r="A107" s="83"/>
      <c r="B107" s="83"/>
      <c r="C107" s="83"/>
      <c r="D107" s="83"/>
      <c r="E107" s="83"/>
      <c r="F107" s="83"/>
      <c r="G107" s="83"/>
      <c r="H107" s="83"/>
      <c r="I107" s="83"/>
      <c r="J107" s="83"/>
      <c r="K107" s="83"/>
      <c r="L107" s="83"/>
      <c r="M107" s="83"/>
      <c r="N107" s="83"/>
      <c r="O107" s="83"/>
      <c r="P107" s="83"/>
      <c r="Q107" s="83"/>
      <c r="R107" s="83"/>
      <c r="S107" s="83"/>
      <c r="T107" s="83"/>
    </row>
    <row r="108" spans="1:20" ht="20.25" customHeight="1">
      <c r="A108" s="83"/>
      <c r="B108" s="83"/>
      <c r="C108" s="83"/>
      <c r="D108" s="83"/>
      <c r="E108" s="83"/>
      <c r="F108" s="83"/>
      <c r="G108" s="83"/>
      <c r="H108" s="83"/>
      <c r="I108" s="83"/>
      <c r="J108" s="83"/>
      <c r="K108" s="83"/>
      <c r="L108" s="83"/>
      <c r="M108" s="83"/>
      <c r="N108" s="83"/>
      <c r="O108" s="83"/>
      <c r="P108" s="83"/>
      <c r="Q108" s="83"/>
      <c r="R108" s="83"/>
      <c r="S108" s="83"/>
      <c r="T108" s="83"/>
    </row>
    <row r="109" spans="1:20" ht="20.25" customHeight="1">
      <c r="A109" s="83"/>
      <c r="B109" s="83"/>
      <c r="C109" s="83"/>
      <c r="D109" s="83"/>
      <c r="E109" s="83"/>
      <c r="F109" s="83"/>
      <c r="G109" s="83"/>
      <c r="H109" s="83"/>
      <c r="I109" s="83"/>
      <c r="J109" s="83"/>
      <c r="K109" s="83"/>
      <c r="L109" s="83"/>
      <c r="M109" s="83"/>
      <c r="N109" s="83"/>
      <c r="O109" s="83"/>
      <c r="P109" s="83"/>
      <c r="Q109" s="83"/>
      <c r="R109" s="83"/>
      <c r="S109" s="83"/>
      <c r="T109" s="83"/>
    </row>
    <row r="110" spans="1:20" ht="20.25" customHeight="1">
      <c r="A110" s="83"/>
      <c r="B110" s="83"/>
      <c r="C110" s="83"/>
      <c r="D110" s="83"/>
      <c r="E110" s="83"/>
      <c r="F110" s="83"/>
      <c r="G110" s="83"/>
      <c r="H110" s="83"/>
      <c r="I110" s="83"/>
      <c r="J110" s="83"/>
      <c r="K110" s="83"/>
      <c r="L110" s="83"/>
      <c r="M110" s="83"/>
      <c r="N110" s="83"/>
      <c r="O110" s="83"/>
      <c r="P110" s="83"/>
      <c r="Q110" s="83"/>
      <c r="R110" s="83"/>
      <c r="S110" s="83"/>
      <c r="T110" s="83"/>
    </row>
    <row r="111" spans="1:20" ht="20.25" customHeight="1">
      <c r="A111" s="83"/>
      <c r="B111" s="83"/>
      <c r="C111" s="83"/>
      <c r="D111" s="83"/>
      <c r="E111" s="83"/>
      <c r="F111" s="83"/>
      <c r="G111" s="83"/>
      <c r="H111" s="83"/>
      <c r="I111" s="83"/>
      <c r="J111" s="83"/>
      <c r="K111" s="83"/>
      <c r="L111" s="83"/>
      <c r="M111" s="83"/>
      <c r="N111" s="83"/>
      <c r="O111" s="83"/>
      <c r="P111" s="83"/>
      <c r="Q111" s="83"/>
      <c r="R111" s="83"/>
      <c r="S111" s="83"/>
      <c r="T111" s="83"/>
    </row>
    <row r="112" spans="1:20" ht="20.25" customHeight="1">
      <c r="A112" s="83"/>
      <c r="B112" s="83"/>
      <c r="C112" s="83"/>
      <c r="D112" s="83"/>
      <c r="E112" s="83"/>
      <c r="F112" s="83"/>
      <c r="G112" s="83"/>
      <c r="H112" s="83"/>
      <c r="I112" s="83"/>
      <c r="J112" s="83"/>
      <c r="K112" s="83"/>
      <c r="L112" s="83"/>
      <c r="M112" s="83"/>
      <c r="N112" s="83"/>
      <c r="O112" s="83"/>
      <c r="P112" s="83"/>
      <c r="Q112" s="83"/>
      <c r="R112" s="83"/>
      <c r="S112" s="83"/>
      <c r="T112" s="83"/>
    </row>
    <row r="113" spans="1:20" ht="20.25" customHeight="1">
      <c r="A113" s="83"/>
      <c r="B113" s="83"/>
      <c r="C113" s="83"/>
      <c r="D113" s="83"/>
      <c r="E113" s="83"/>
      <c r="F113" s="83"/>
      <c r="G113" s="83"/>
      <c r="H113" s="83"/>
      <c r="I113" s="83"/>
      <c r="J113" s="83"/>
      <c r="K113" s="83"/>
      <c r="L113" s="83"/>
      <c r="M113" s="83"/>
      <c r="N113" s="83"/>
      <c r="O113" s="83"/>
      <c r="P113" s="83"/>
      <c r="Q113" s="83"/>
      <c r="R113" s="83"/>
      <c r="S113" s="83"/>
      <c r="T113" s="83"/>
    </row>
    <row r="114" spans="1:20" ht="20.25" customHeight="1">
      <c r="A114" s="83"/>
      <c r="B114" s="83"/>
      <c r="C114" s="83"/>
      <c r="D114" s="83"/>
      <c r="E114" s="83"/>
      <c r="F114" s="83"/>
      <c r="G114" s="83"/>
      <c r="H114" s="83"/>
      <c r="I114" s="83"/>
      <c r="J114" s="83"/>
      <c r="K114" s="83"/>
      <c r="L114" s="83"/>
      <c r="M114" s="83"/>
      <c r="N114" s="83"/>
      <c r="O114" s="83"/>
      <c r="P114" s="83"/>
      <c r="Q114" s="83"/>
      <c r="R114" s="83"/>
      <c r="S114" s="83"/>
      <c r="T114" s="83"/>
    </row>
    <row r="115" spans="1:20" ht="20.25" customHeight="1">
      <c r="A115" s="83"/>
      <c r="B115" s="83"/>
      <c r="C115" s="83"/>
      <c r="D115" s="83"/>
      <c r="E115" s="83"/>
      <c r="F115" s="83"/>
      <c r="G115" s="83"/>
      <c r="H115" s="83"/>
      <c r="I115" s="83"/>
      <c r="J115" s="83"/>
      <c r="K115" s="83"/>
      <c r="L115" s="83"/>
      <c r="M115" s="83"/>
      <c r="N115" s="83"/>
      <c r="O115" s="83"/>
      <c r="P115" s="83"/>
      <c r="Q115" s="83"/>
      <c r="R115" s="83"/>
      <c r="S115" s="83"/>
      <c r="T115" s="83"/>
    </row>
    <row r="116" spans="1:20" ht="20.25" customHeight="1">
      <c r="A116" s="83"/>
      <c r="B116" s="83"/>
      <c r="C116" s="83"/>
      <c r="D116" s="83"/>
      <c r="E116" s="83"/>
      <c r="F116" s="83"/>
      <c r="G116" s="83"/>
      <c r="H116" s="83"/>
      <c r="I116" s="83"/>
      <c r="J116" s="83"/>
      <c r="K116" s="83"/>
      <c r="L116" s="83"/>
      <c r="M116" s="83"/>
      <c r="N116" s="83"/>
      <c r="O116" s="83"/>
      <c r="P116" s="83"/>
      <c r="Q116" s="83"/>
      <c r="R116" s="83"/>
      <c r="S116" s="83"/>
      <c r="T116" s="83"/>
    </row>
    <row r="117" spans="1:20" ht="20.25" customHeight="1">
      <c r="A117" s="83"/>
      <c r="B117" s="83"/>
      <c r="C117" s="83"/>
      <c r="D117" s="83"/>
      <c r="E117" s="83"/>
      <c r="F117" s="83"/>
      <c r="G117" s="83"/>
      <c r="H117" s="83"/>
      <c r="I117" s="83"/>
      <c r="J117" s="83"/>
      <c r="K117" s="83"/>
      <c r="L117" s="83"/>
      <c r="M117" s="83"/>
      <c r="N117" s="83"/>
      <c r="O117" s="83"/>
      <c r="P117" s="83"/>
      <c r="Q117" s="83"/>
      <c r="R117" s="83"/>
      <c r="S117" s="83"/>
      <c r="T117" s="83"/>
    </row>
    <row r="118" spans="1:20" ht="20.25" customHeight="1">
      <c r="A118" s="83"/>
      <c r="B118" s="83"/>
      <c r="C118" s="83"/>
      <c r="D118" s="83"/>
      <c r="E118" s="83"/>
      <c r="F118" s="83"/>
      <c r="G118" s="83"/>
      <c r="H118" s="83"/>
      <c r="I118" s="83"/>
      <c r="J118" s="83"/>
      <c r="K118" s="83"/>
      <c r="L118" s="83"/>
      <c r="M118" s="83"/>
      <c r="N118" s="83"/>
      <c r="O118" s="83"/>
      <c r="P118" s="83"/>
      <c r="Q118" s="83"/>
      <c r="R118" s="83"/>
      <c r="S118" s="83"/>
      <c r="T118" s="83"/>
    </row>
    <row r="119" spans="1:20" ht="20.25" customHeight="1">
      <c r="A119" s="83"/>
      <c r="B119" s="83"/>
      <c r="C119" s="83"/>
      <c r="D119" s="83"/>
      <c r="E119" s="83"/>
      <c r="F119" s="83"/>
      <c r="G119" s="83"/>
      <c r="H119" s="83"/>
      <c r="I119" s="83"/>
      <c r="J119" s="83"/>
      <c r="K119" s="83"/>
      <c r="L119" s="83"/>
      <c r="M119" s="83"/>
      <c r="N119" s="83"/>
      <c r="O119" s="83"/>
      <c r="P119" s="83"/>
      <c r="Q119" s="83"/>
      <c r="R119" s="83"/>
      <c r="S119" s="83"/>
      <c r="T119" s="83"/>
    </row>
    <row r="120" spans="1:20" ht="20.25" customHeight="1">
      <c r="A120" s="83"/>
      <c r="B120" s="83"/>
      <c r="C120" s="83"/>
      <c r="D120" s="83"/>
      <c r="E120" s="83"/>
      <c r="F120" s="83"/>
      <c r="G120" s="83"/>
      <c r="H120" s="83"/>
      <c r="I120" s="83"/>
      <c r="J120" s="83"/>
      <c r="K120" s="83"/>
      <c r="L120" s="83"/>
      <c r="M120" s="83"/>
      <c r="N120" s="83"/>
      <c r="O120" s="83"/>
      <c r="P120" s="83"/>
      <c r="Q120" s="83"/>
      <c r="R120" s="83"/>
      <c r="S120" s="83"/>
      <c r="T120" s="83"/>
    </row>
    <row r="121" spans="1:20" ht="20.25" customHeight="1">
      <c r="A121" s="83"/>
      <c r="B121" s="83"/>
      <c r="C121" s="83"/>
      <c r="D121" s="83"/>
      <c r="E121" s="83"/>
      <c r="F121" s="83"/>
      <c r="G121" s="83"/>
      <c r="H121" s="83"/>
      <c r="I121" s="83"/>
      <c r="J121" s="83"/>
      <c r="K121" s="83"/>
      <c r="L121" s="83"/>
      <c r="M121" s="83"/>
      <c r="N121" s="83"/>
      <c r="O121" s="83"/>
      <c r="P121" s="83"/>
      <c r="Q121" s="83"/>
      <c r="R121" s="83"/>
      <c r="S121" s="83"/>
      <c r="T121" s="83"/>
    </row>
    <row r="122" spans="1:20" ht="20.25" customHeight="1">
      <c r="A122" s="83"/>
      <c r="B122" s="83"/>
      <c r="C122" s="83"/>
      <c r="D122" s="83"/>
      <c r="E122" s="83"/>
      <c r="F122" s="83"/>
      <c r="G122" s="83"/>
      <c r="H122" s="83"/>
      <c r="I122" s="83"/>
      <c r="J122" s="83"/>
      <c r="K122" s="83"/>
      <c r="L122" s="83"/>
      <c r="M122" s="83"/>
      <c r="N122" s="83"/>
      <c r="O122" s="83"/>
      <c r="P122" s="83"/>
      <c r="Q122" s="83"/>
      <c r="R122" s="83"/>
      <c r="S122" s="83"/>
      <c r="T122" s="83"/>
    </row>
    <row r="123" spans="1:20" ht="20.25" customHeight="1">
      <c r="A123" s="83"/>
      <c r="B123" s="83"/>
      <c r="C123" s="83"/>
      <c r="D123" s="83"/>
      <c r="E123" s="83"/>
      <c r="F123" s="83"/>
      <c r="G123" s="83"/>
      <c r="H123" s="83"/>
      <c r="I123" s="83"/>
      <c r="J123" s="83"/>
      <c r="K123" s="83"/>
      <c r="L123" s="83"/>
      <c r="M123" s="83"/>
      <c r="N123" s="83"/>
      <c r="O123" s="83"/>
      <c r="P123" s="83"/>
      <c r="Q123" s="83"/>
      <c r="R123" s="83"/>
      <c r="S123" s="83"/>
      <c r="T123" s="83"/>
    </row>
    <row r="124" spans="1:20" ht="20.25" customHeight="1">
      <c r="A124" s="83"/>
      <c r="B124" s="83"/>
      <c r="C124" s="83"/>
      <c r="D124" s="83"/>
      <c r="E124" s="83"/>
      <c r="F124" s="83"/>
      <c r="G124" s="83"/>
      <c r="H124" s="83"/>
      <c r="I124" s="83"/>
      <c r="J124" s="83"/>
      <c r="K124" s="83"/>
      <c r="L124" s="83"/>
      <c r="M124" s="83"/>
      <c r="N124" s="83"/>
      <c r="O124" s="83"/>
      <c r="P124" s="83"/>
      <c r="Q124" s="83"/>
      <c r="R124" s="83"/>
      <c r="S124" s="83"/>
      <c r="T124" s="83"/>
    </row>
    <row r="125" spans="1:20" ht="20.25" customHeight="1">
      <c r="A125" s="83"/>
      <c r="B125" s="83"/>
      <c r="C125" s="83"/>
      <c r="D125" s="83"/>
      <c r="E125" s="83"/>
      <c r="F125" s="83"/>
      <c r="G125" s="83"/>
      <c r="H125" s="83"/>
      <c r="I125" s="83"/>
      <c r="J125" s="83"/>
      <c r="K125" s="83"/>
      <c r="L125" s="83"/>
      <c r="M125" s="83"/>
      <c r="N125" s="83"/>
      <c r="O125" s="83"/>
      <c r="P125" s="83"/>
      <c r="Q125" s="83"/>
      <c r="R125" s="83"/>
      <c r="S125" s="83"/>
      <c r="T125" s="83"/>
    </row>
    <row r="126" spans="1:20" ht="20.25" customHeight="1">
      <c r="A126" s="83"/>
      <c r="B126" s="83"/>
      <c r="C126" s="83"/>
      <c r="D126" s="83"/>
      <c r="E126" s="83"/>
      <c r="F126" s="83"/>
      <c r="G126" s="83"/>
      <c r="H126" s="83"/>
      <c r="I126" s="83"/>
      <c r="J126" s="83"/>
      <c r="K126" s="83"/>
      <c r="L126" s="83"/>
      <c r="M126" s="83"/>
      <c r="N126" s="83"/>
      <c r="O126" s="83"/>
      <c r="P126" s="83"/>
      <c r="Q126" s="83"/>
      <c r="R126" s="83"/>
      <c r="S126" s="83"/>
      <c r="T126" s="83"/>
    </row>
    <row r="127" spans="1:20" ht="20.25" customHeight="1">
      <c r="A127" s="83"/>
      <c r="B127" s="83"/>
      <c r="C127" s="83"/>
      <c r="D127" s="83"/>
      <c r="E127" s="83"/>
      <c r="F127" s="83"/>
      <c r="G127" s="83"/>
      <c r="H127" s="83"/>
      <c r="I127" s="83"/>
      <c r="J127" s="83"/>
      <c r="K127" s="83"/>
      <c r="L127" s="83"/>
      <c r="M127" s="83"/>
      <c r="N127" s="83"/>
      <c r="O127" s="83"/>
      <c r="P127" s="83"/>
      <c r="Q127" s="83"/>
      <c r="R127" s="83"/>
      <c r="S127" s="83"/>
      <c r="T127" s="83"/>
    </row>
    <row r="128" spans="1:20" ht="20.25" customHeight="1">
      <c r="A128" s="83"/>
      <c r="B128" s="83"/>
      <c r="C128" s="83"/>
      <c r="D128" s="83"/>
      <c r="E128" s="83"/>
      <c r="F128" s="83"/>
      <c r="G128" s="83"/>
      <c r="H128" s="83"/>
      <c r="I128" s="83"/>
      <c r="J128" s="83"/>
      <c r="K128" s="83"/>
      <c r="L128" s="83"/>
      <c r="M128" s="83"/>
      <c r="N128" s="83"/>
      <c r="O128" s="83"/>
      <c r="P128" s="83"/>
      <c r="Q128" s="83"/>
      <c r="R128" s="83"/>
      <c r="S128" s="83"/>
      <c r="T128" s="83"/>
    </row>
    <row r="129" spans="1:20" ht="20.25" customHeight="1">
      <c r="A129" s="83"/>
      <c r="B129" s="83"/>
      <c r="C129" s="83"/>
      <c r="D129" s="83"/>
      <c r="E129" s="83"/>
      <c r="F129" s="83"/>
      <c r="G129" s="83"/>
      <c r="H129" s="83"/>
      <c r="I129" s="83"/>
      <c r="J129" s="83"/>
      <c r="K129" s="83"/>
      <c r="L129" s="83"/>
      <c r="M129" s="83"/>
      <c r="N129" s="83"/>
      <c r="O129" s="83"/>
      <c r="P129" s="83"/>
      <c r="Q129" s="83"/>
      <c r="R129" s="83"/>
      <c r="S129" s="83"/>
      <c r="T129" s="83"/>
    </row>
    <row r="130" spans="1:20" ht="20.25" customHeight="1">
      <c r="A130" s="83"/>
      <c r="B130" s="83"/>
      <c r="C130" s="83"/>
      <c r="D130" s="83"/>
      <c r="E130" s="83"/>
      <c r="F130" s="83"/>
      <c r="G130" s="83"/>
      <c r="H130" s="83"/>
      <c r="I130" s="83"/>
      <c r="J130" s="83"/>
      <c r="K130" s="83"/>
      <c r="L130" s="83"/>
      <c r="M130" s="83"/>
      <c r="N130" s="83"/>
      <c r="O130" s="83"/>
      <c r="P130" s="83"/>
      <c r="Q130" s="83"/>
      <c r="R130" s="83"/>
      <c r="S130" s="83"/>
      <c r="T130" s="83"/>
    </row>
    <row r="131" spans="1:20" ht="20.25" customHeight="1">
      <c r="A131" s="83"/>
      <c r="B131" s="83"/>
      <c r="C131" s="83"/>
      <c r="D131" s="83"/>
      <c r="E131" s="83"/>
      <c r="F131" s="83"/>
      <c r="G131" s="83"/>
      <c r="H131" s="83"/>
      <c r="I131" s="83"/>
      <c r="J131" s="83"/>
      <c r="K131" s="83"/>
      <c r="L131" s="83"/>
      <c r="M131" s="83"/>
      <c r="N131" s="83"/>
      <c r="O131" s="83"/>
      <c r="P131" s="83"/>
      <c r="Q131" s="83"/>
      <c r="R131" s="83"/>
      <c r="S131" s="83"/>
      <c r="T131" s="83"/>
    </row>
    <row r="132" spans="1:20" ht="20.25" customHeight="1">
      <c r="A132" s="83"/>
      <c r="B132" s="83"/>
      <c r="C132" s="83"/>
      <c r="D132" s="83"/>
      <c r="E132" s="83"/>
      <c r="F132" s="83"/>
      <c r="G132" s="83"/>
      <c r="H132" s="83"/>
      <c r="I132" s="83"/>
      <c r="J132" s="83"/>
      <c r="K132" s="83"/>
      <c r="L132" s="83"/>
      <c r="M132" s="83"/>
      <c r="N132" s="83"/>
      <c r="O132" s="83"/>
      <c r="P132" s="83"/>
      <c r="Q132" s="83"/>
      <c r="R132" s="83"/>
      <c r="S132" s="83"/>
      <c r="T132" s="83"/>
    </row>
    <row r="133" spans="1:20" ht="20.25" customHeight="1">
      <c r="A133" s="83"/>
      <c r="B133" s="83"/>
      <c r="C133" s="83"/>
      <c r="D133" s="83"/>
      <c r="E133" s="83"/>
      <c r="F133" s="83"/>
      <c r="G133" s="83"/>
      <c r="H133" s="83"/>
      <c r="I133" s="83"/>
      <c r="J133" s="83"/>
      <c r="K133" s="83"/>
      <c r="L133" s="83"/>
      <c r="M133" s="83"/>
      <c r="N133" s="83"/>
      <c r="O133" s="83"/>
      <c r="P133" s="83"/>
      <c r="Q133" s="83"/>
      <c r="R133" s="83"/>
      <c r="S133" s="83"/>
      <c r="T133" s="83"/>
    </row>
    <row r="134" spans="1:20" ht="20.25" customHeight="1">
      <c r="A134" s="83"/>
      <c r="B134" s="83"/>
      <c r="C134" s="83"/>
      <c r="D134" s="83"/>
      <c r="E134" s="83"/>
      <c r="F134" s="83"/>
      <c r="G134" s="83"/>
      <c r="H134" s="83"/>
      <c r="I134" s="83"/>
      <c r="J134" s="83"/>
      <c r="K134" s="83"/>
      <c r="L134" s="83"/>
      <c r="M134" s="83"/>
      <c r="N134" s="83"/>
      <c r="O134" s="83"/>
      <c r="P134" s="83"/>
      <c r="Q134" s="83"/>
      <c r="R134" s="83"/>
      <c r="S134" s="83"/>
      <c r="T134" s="83"/>
    </row>
    <row r="135" spans="1:20" ht="20.25" customHeight="1">
      <c r="A135" s="83"/>
      <c r="B135" s="83"/>
      <c r="C135" s="83"/>
      <c r="D135" s="83"/>
      <c r="E135" s="83"/>
      <c r="F135" s="83"/>
      <c r="G135" s="83"/>
      <c r="H135" s="83"/>
      <c r="I135" s="83"/>
      <c r="J135" s="83"/>
      <c r="K135" s="83"/>
      <c r="L135" s="83"/>
      <c r="M135" s="83"/>
      <c r="N135" s="83"/>
      <c r="O135" s="83"/>
      <c r="P135" s="83"/>
      <c r="Q135" s="83"/>
      <c r="R135" s="83"/>
      <c r="S135" s="83"/>
      <c r="T135" s="83"/>
    </row>
    <row r="136" spans="1:20" ht="20.25" customHeight="1">
      <c r="A136" s="83"/>
      <c r="B136" s="83"/>
      <c r="C136" s="83"/>
      <c r="D136" s="83"/>
      <c r="E136" s="83"/>
      <c r="F136" s="83"/>
      <c r="G136" s="83"/>
      <c r="H136" s="83"/>
      <c r="I136" s="83"/>
      <c r="J136" s="83"/>
      <c r="K136" s="83"/>
      <c r="L136" s="83"/>
      <c r="M136" s="83"/>
      <c r="N136" s="83"/>
      <c r="O136" s="83"/>
      <c r="P136" s="83"/>
      <c r="Q136" s="83"/>
      <c r="R136" s="83"/>
      <c r="S136" s="83"/>
      <c r="T136" s="83"/>
    </row>
    <row r="137" spans="1:20" ht="20.25" customHeight="1">
      <c r="A137" s="83"/>
      <c r="B137" s="83"/>
      <c r="C137" s="83"/>
      <c r="D137" s="83"/>
      <c r="E137" s="83"/>
      <c r="F137" s="83"/>
      <c r="G137" s="83"/>
      <c r="H137" s="83"/>
      <c r="I137" s="83"/>
      <c r="J137" s="83"/>
      <c r="K137" s="83"/>
      <c r="L137" s="83"/>
      <c r="M137" s="83"/>
      <c r="N137" s="83"/>
      <c r="O137" s="83"/>
      <c r="P137" s="83"/>
      <c r="Q137" s="83"/>
      <c r="R137" s="83"/>
      <c r="S137" s="83"/>
      <c r="T137" s="83"/>
    </row>
    <row r="138" spans="1:20" ht="20.25" customHeight="1">
      <c r="A138" s="83"/>
      <c r="B138" s="83"/>
      <c r="C138" s="83"/>
      <c r="D138" s="83"/>
      <c r="E138" s="83"/>
      <c r="F138" s="83"/>
      <c r="G138" s="83"/>
      <c r="H138" s="83"/>
      <c r="I138" s="83"/>
      <c r="J138" s="83"/>
      <c r="K138" s="83"/>
      <c r="L138" s="83"/>
      <c r="M138" s="83"/>
      <c r="N138" s="83"/>
      <c r="O138" s="83"/>
      <c r="P138" s="83"/>
      <c r="Q138" s="83"/>
      <c r="R138" s="83"/>
      <c r="S138" s="83"/>
      <c r="T138" s="83"/>
    </row>
    <row r="139" spans="1:20" ht="20.25" customHeight="1">
      <c r="A139" s="83"/>
      <c r="B139" s="83"/>
      <c r="C139" s="83"/>
      <c r="D139" s="83"/>
      <c r="E139" s="83"/>
      <c r="F139" s="83"/>
      <c r="G139" s="83"/>
      <c r="H139" s="83"/>
      <c r="I139" s="83"/>
      <c r="J139" s="83"/>
      <c r="K139" s="83"/>
      <c r="L139" s="83"/>
      <c r="M139" s="83"/>
      <c r="N139" s="83"/>
      <c r="O139" s="83"/>
      <c r="P139" s="83"/>
      <c r="Q139" s="83"/>
      <c r="R139" s="83"/>
      <c r="S139" s="83"/>
      <c r="T139" s="83"/>
    </row>
    <row r="140" spans="1:20" ht="20.25" customHeight="1">
      <c r="A140" s="83"/>
      <c r="B140" s="83"/>
      <c r="C140" s="83"/>
      <c r="D140" s="83"/>
      <c r="E140" s="83"/>
      <c r="F140" s="83"/>
      <c r="G140" s="83"/>
      <c r="H140" s="83"/>
      <c r="I140" s="83"/>
      <c r="J140" s="83"/>
      <c r="K140" s="83"/>
      <c r="L140" s="83"/>
      <c r="M140" s="83"/>
      <c r="N140" s="83"/>
      <c r="O140" s="83"/>
      <c r="P140" s="83"/>
      <c r="Q140" s="83"/>
      <c r="R140" s="83"/>
      <c r="S140" s="83"/>
      <c r="T140" s="83"/>
    </row>
    <row r="141" spans="1:20" ht="20.25" customHeight="1">
      <c r="A141" s="83"/>
      <c r="B141" s="83"/>
      <c r="C141" s="83"/>
      <c r="D141" s="83"/>
      <c r="E141" s="83"/>
      <c r="F141" s="83"/>
      <c r="G141" s="83"/>
      <c r="H141" s="83"/>
      <c r="I141" s="83"/>
      <c r="J141" s="83"/>
      <c r="K141" s="83"/>
      <c r="L141" s="83"/>
      <c r="M141" s="83"/>
      <c r="N141" s="83"/>
      <c r="O141" s="83"/>
      <c r="P141" s="83"/>
      <c r="Q141" s="83"/>
      <c r="R141" s="83"/>
      <c r="S141" s="83"/>
      <c r="T141" s="83"/>
    </row>
    <row r="142" spans="1:20" ht="20.25" customHeight="1">
      <c r="A142" s="83"/>
      <c r="B142" s="83"/>
      <c r="C142" s="83"/>
      <c r="D142" s="83"/>
      <c r="E142" s="83"/>
      <c r="F142" s="83"/>
      <c r="G142" s="83"/>
      <c r="H142" s="83"/>
      <c r="I142" s="83"/>
      <c r="J142" s="83"/>
      <c r="K142" s="83"/>
      <c r="L142" s="83"/>
      <c r="M142" s="83"/>
      <c r="N142" s="83"/>
      <c r="O142" s="83"/>
      <c r="P142" s="83"/>
      <c r="Q142" s="83"/>
      <c r="R142" s="83"/>
      <c r="S142" s="83"/>
      <c r="T142" s="83"/>
    </row>
    <row r="143" spans="1:20" ht="20.25" customHeight="1">
      <c r="A143" s="83"/>
      <c r="B143" s="83"/>
      <c r="C143" s="83"/>
      <c r="D143" s="83"/>
      <c r="E143" s="83"/>
      <c r="F143" s="83"/>
      <c r="G143" s="83"/>
      <c r="H143" s="83"/>
      <c r="I143" s="83"/>
      <c r="J143" s="83"/>
      <c r="K143" s="83"/>
      <c r="L143" s="83"/>
      <c r="M143" s="83"/>
      <c r="N143" s="83"/>
      <c r="O143" s="83"/>
      <c r="P143" s="83"/>
      <c r="Q143" s="83"/>
      <c r="R143" s="83"/>
      <c r="S143" s="83"/>
      <c r="T143" s="83"/>
    </row>
    <row r="144" spans="1:20" ht="20.25" customHeight="1">
      <c r="A144" s="83"/>
      <c r="B144" s="83"/>
      <c r="C144" s="83"/>
      <c r="D144" s="83"/>
      <c r="E144" s="83"/>
      <c r="F144" s="83"/>
      <c r="G144" s="83"/>
      <c r="H144" s="83"/>
      <c r="I144" s="83"/>
      <c r="J144" s="83"/>
      <c r="K144" s="83"/>
      <c r="L144" s="83"/>
      <c r="M144" s="83"/>
      <c r="N144" s="83"/>
      <c r="O144" s="83"/>
      <c r="P144" s="83"/>
      <c r="Q144" s="83"/>
      <c r="R144" s="83"/>
      <c r="S144" s="83"/>
      <c r="T144" s="83"/>
    </row>
    <row r="145" spans="1:20" ht="20.25" customHeight="1">
      <c r="A145" s="83"/>
      <c r="B145" s="83"/>
      <c r="C145" s="83"/>
      <c r="D145" s="83"/>
      <c r="E145" s="83"/>
      <c r="F145" s="83"/>
      <c r="G145" s="83"/>
      <c r="H145" s="83"/>
      <c r="I145" s="83"/>
      <c r="J145" s="83"/>
      <c r="K145" s="83"/>
      <c r="L145" s="83"/>
      <c r="M145" s="83"/>
      <c r="N145" s="83"/>
      <c r="O145" s="83"/>
      <c r="P145" s="83"/>
      <c r="Q145" s="83"/>
      <c r="R145" s="83"/>
      <c r="S145" s="83"/>
      <c r="T145" s="83"/>
    </row>
    <row r="146" spans="1:20" ht="20.25" customHeight="1">
      <c r="A146" s="83"/>
      <c r="B146" s="83"/>
      <c r="C146" s="83"/>
      <c r="D146" s="83"/>
      <c r="E146" s="83"/>
      <c r="F146" s="83"/>
      <c r="G146" s="83"/>
      <c r="H146" s="83"/>
      <c r="I146" s="83"/>
      <c r="J146" s="83"/>
      <c r="K146" s="83"/>
      <c r="L146" s="83"/>
      <c r="M146" s="83"/>
      <c r="N146" s="83"/>
      <c r="O146" s="83"/>
      <c r="P146" s="83"/>
      <c r="Q146" s="83"/>
      <c r="R146" s="83"/>
      <c r="S146" s="83"/>
      <c r="T146" s="83"/>
    </row>
    <row r="147" spans="1:20" ht="20.25" customHeight="1">
      <c r="A147" s="83"/>
      <c r="B147" s="83"/>
      <c r="C147" s="83"/>
      <c r="D147" s="83"/>
      <c r="E147" s="83"/>
      <c r="F147" s="83"/>
      <c r="G147" s="83"/>
      <c r="H147" s="83"/>
      <c r="I147" s="83"/>
      <c r="J147" s="83"/>
      <c r="K147" s="83"/>
      <c r="L147" s="83"/>
      <c r="M147" s="83"/>
      <c r="N147" s="83"/>
      <c r="O147" s="83"/>
      <c r="P147" s="83"/>
      <c r="Q147" s="83"/>
      <c r="R147" s="83"/>
      <c r="S147" s="83"/>
      <c r="T147" s="83"/>
    </row>
    <row r="148" spans="1:20" ht="20.25" customHeight="1">
      <c r="A148" s="83"/>
      <c r="B148" s="83"/>
      <c r="C148" s="83"/>
      <c r="D148" s="83"/>
      <c r="E148" s="83"/>
      <c r="F148" s="83"/>
      <c r="G148" s="83"/>
      <c r="H148" s="83"/>
      <c r="I148" s="83"/>
      <c r="J148" s="83"/>
      <c r="K148" s="83"/>
      <c r="L148" s="83"/>
      <c r="M148" s="83"/>
      <c r="N148" s="83"/>
      <c r="O148" s="83"/>
      <c r="P148" s="83"/>
      <c r="Q148" s="83"/>
      <c r="R148" s="83"/>
      <c r="S148" s="83"/>
      <c r="T148" s="83"/>
    </row>
    <row r="149" spans="1:20" ht="20.25" customHeight="1">
      <c r="A149" s="83"/>
      <c r="B149" s="83"/>
      <c r="C149" s="83"/>
      <c r="D149" s="83"/>
      <c r="E149" s="83"/>
      <c r="F149" s="83"/>
      <c r="G149" s="83"/>
      <c r="H149" s="83"/>
      <c r="I149" s="83"/>
      <c r="J149" s="83"/>
      <c r="K149" s="83"/>
      <c r="L149" s="83"/>
      <c r="M149" s="83"/>
      <c r="N149" s="83"/>
      <c r="O149" s="83"/>
      <c r="P149" s="83"/>
      <c r="Q149" s="83"/>
      <c r="R149" s="83"/>
      <c r="S149" s="83"/>
      <c r="T149" s="83"/>
    </row>
    <row r="150" spans="1:20" ht="20.25" customHeight="1">
      <c r="A150" s="83"/>
      <c r="B150" s="83"/>
      <c r="C150" s="83"/>
      <c r="D150" s="83"/>
      <c r="E150" s="83"/>
      <c r="F150" s="83"/>
      <c r="G150" s="83"/>
      <c r="H150" s="83"/>
      <c r="I150" s="83"/>
      <c r="J150" s="83"/>
      <c r="K150" s="83"/>
      <c r="L150" s="83"/>
      <c r="M150" s="83"/>
      <c r="N150" s="83"/>
      <c r="O150" s="83"/>
      <c r="P150" s="83"/>
      <c r="Q150" s="83"/>
      <c r="R150" s="83"/>
      <c r="S150" s="83"/>
      <c r="T150" s="83"/>
    </row>
    <row r="151" spans="1:20" ht="20.25" customHeight="1">
      <c r="A151" s="83"/>
      <c r="B151" s="83"/>
      <c r="C151" s="83"/>
      <c r="D151" s="83"/>
      <c r="E151" s="83"/>
      <c r="F151" s="83"/>
      <c r="G151" s="83"/>
      <c r="H151" s="83"/>
      <c r="I151" s="83"/>
      <c r="J151" s="83"/>
      <c r="K151" s="83"/>
      <c r="L151" s="83"/>
      <c r="M151" s="83"/>
      <c r="N151" s="83"/>
      <c r="O151" s="83"/>
      <c r="P151" s="83"/>
      <c r="Q151" s="83"/>
      <c r="R151" s="83"/>
      <c r="S151" s="83"/>
      <c r="T151" s="83"/>
    </row>
    <row r="152" spans="1:20" ht="20.25" customHeight="1">
      <c r="A152" s="83"/>
      <c r="B152" s="83"/>
      <c r="C152" s="83"/>
      <c r="D152" s="83"/>
      <c r="E152" s="83"/>
      <c r="F152" s="83"/>
      <c r="G152" s="83"/>
      <c r="H152" s="83"/>
      <c r="I152" s="83"/>
      <c r="J152" s="83"/>
      <c r="K152" s="83"/>
      <c r="L152" s="83"/>
      <c r="M152" s="83"/>
      <c r="N152" s="83"/>
      <c r="O152" s="83"/>
      <c r="P152" s="83"/>
      <c r="Q152" s="83"/>
      <c r="R152" s="83"/>
      <c r="S152" s="83"/>
      <c r="T152" s="83"/>
    </row>
    <row r="153" spans="1:20" ht="20.25" customHeight="1">
      <c r="A153" s="83"/>
      <c r="B153" s="83"/>
      <c r="C153" s="83"/>
      <c r="D153" s="83"/>
      <c r="E153" s="83"/>
      <c r="F153" s="83"/>
      <c r="G153" s="83"/>
      <c r="H153" s="83"/>
      <c r="I153" s="83"/>
      <c r="J153" s="83"/>
      <c r="K153" s="83"/>
      <c r="L153" s="83"/>
      <c r="M153" s="83"/>
      <c r="N153" s="83"/>
      <c r="O153" s="83"/>
      <c r="P153" s="83"/>
      <c r="Q153" s="83"/>
      <c r="R153" s="83"/>
      <c r="S153" s="83"/>
      <c r="T153" s="83"/>
    </row>
    <row r="154" spans="1:20" ht="20.25" customHeight="1">
      <c r="A154" s="83"/>
      <c r="B154" s="83"/>
      <c r="C154" s="83"/>
      <c r="D154" s="83"/>
      <c r="E154" s="83"/>
      <c r="F154" s="83"/>
      <c r="G154" s="83"/>
      <c r="H154" s="83"/>
      <c r="I154" s="83"/>
      <c r="J154" s="83"/>
      <c r="K154" s="83"/>
      <c r="L154" s="83"/>
      <c r="M154" s="83"/>
      <c r="N154" s="83"/>
      <c r="O154" s="83"/>
      <c r="P154" s="83"/>
      <c r="Q154" s="83"/>
      <c r="R154" s="83"/>
      <c r="S154" s="83"/>
      <c r="T154" s="83"/>
    </row>
    <row r="155" spans="1:20" ht="20.25" customHeight="1">
      <c r="A155" s="83"/>
      <c r="B155" s="83"/>
      <c r="C155" s="83"/>
      <c r="D155" s="83"/>
      <c r="E155" s="83"/>
      <c r="F155" s="83"/>
      <c r="G155" s="83"/>
      <c r="H155" s="83"/>
      <c r="I155" s="83"/>
      <c r="J155" s="83"/>
      <c r="K155" s="83"/>
      <c r="L155" s="83"/>
      <c r="M155" s="83"/>
      <c r="N155" s="83"/>
      <c r="O155" s="83"/>
      <c r="P155" s="83"/>
      <c r="Q155" s="83"/>
      <c r="R155" s="83"/>
      <c r="S155" s="83"/>
      <c r="T155" s="83"/>
    </row>
    <row r="156" spans="1:20" ht="20.25" customHeight="1">
      <c r="A156" s="83"/>
      <c r="B156" s="83"/>
      <c r="C156" s="83"/>
      <c r="D156" s="83"/>
      <c r="E156" s="83"/>
      <c r="F156" s="83"/>
      <c r="G156" s="83"/>
      <c r="H156" s="83"/>
      <c r="I156" s="83"/>
      <c r="J156" s="83"/>
      <c r="K156" s="83"/>
      <c r="L156" s="83"/>
      <c r="M156" s="83"/>
      <c r="N156" s="83"/>
      <c r="O156" s="83"/>
      <c r="P156" s="83"/>
      <c r="Q156" s="83"/>
      <c r="R156" s="83"/>
      <c r="S156" s="83"/>
      <c r="T156" s="83"/>
    </row>
    <row r="157" spans="1:20" ht="20.25" customHeight="1">
      <c r="A157" s="83"/>
      <c r="B157" s="83"/>
      <c r="C157" s="83"/>
      <c r="D157" s="83"/>
      <c r="E157" s="83"/>
      <c r="F157" s="83"/>
      <c r="G157" s="83"/>
      <c r="H157" s="83"/>
      <c r="I157" s="83"/>
      <c r="J157" s="83"/>
      <c r="K157" s="83"/>
      <c r="L157" s="83"/>
      <c r="M157" s="83"/>
      <c r="N157" s="83"/>
      <c r="O157" s="83"/>
      <c r="P157" s="83"/>
      <c r="Q157" s="83"/>
      <c r="R157" s="83"/>
      <c r="S157" s="83"/>
      <c r="T157" s="83"/>
    </row>
    <row r="158" spans="1:20" ht="20.25" customHeight="1">
      <c r="A158" s="83"/>
      <c r="B158" s="83"/>
      <c r="C158" s="83"/>
      <c r="D158" s="83"/>
      <c r="E158" s="83"/>
      <c r="F158" s="83"/>
      <c r="G158" s="83"/>
      <c r="H158" s="83"/>
      <c r="I158" s="83"/>
      <c r="J158" s="83"/>
      <c r="K158" s="83"/>
      <c r="L158" s="83"/>
      <c r="M158" s="83"/>
      <c r="N158" s="83"/>
      <c r="O158" s="83"/>
      <c r="P158" s="83"/>
      <c r="Q158" s="83"/>
      <c r="R158" s="83"/>
      <c r="S158" s="83"/>
      <c r="T158" s="83"/>
    </row>
    <row r="159" spans="1:20" ht="20.25" customHeight="1">
      <c r="A159" s="83"/>
      <c r="B159" s="83"/>
      <c r="C159" s="83"/>
      <c r="D159" s="83"/>
      <c r="E159" s="83"/>
      <c r="F159" s="83"/>
      <c r="G159" s="83"/>
      <c r="H159" s="83"/>
      <c r="I159" s="83"/>
      <c r="J159" s="83"/>
      <c r="K159" s="83"/>
      <c r="L159" s="83"/>
      <c r="M159" s="83"/>
      <c r="N159" s="83"/>
      <c r="O159" s="83"/>
      <c r="P159" s="83"/>
      <c r="Q159" s="83"/>
      <c r="R159" s="83"/>
      <c r="S159" s="83"/>
      <c r="T159" s="83"/>
    </row>
    <row r="160" spans="1:20" ht="20.25" customHeight="1">
      <c r="A160" s="83"/>
      <c r="B160" s="83"/>
      <c r="C160" s="83"/>
      <c r="D160" s="83"/>
      <c r="E160" s="83"/>
      <c r="F160" s="83"/>
      <c r="G160" s="83"/>
      <c r="H160" s="83"/>
      <c r="I160" s="83"/>
      <c r="J160" s="83"/>
      <c r="K160" s="83"/>
      <c r="L160" s="83"/>
      <c r="M160" s="83"/>
      <c r="N160" s="83"/>
      <c r="O160" s="83"/>
      <c r="P160" s="83"/>
      <c r="Q160" s="83"/>
      <c r="R160" s="83"/>
      <c r="S160" s="83"/>
      <c r="T160" s="83"/>
    </row>
    <row r="161" spans="1:20" ht="20.25" customHeight="1">
      <c r="A161" s="83"/>
      <c r="B161" s="83"/>
      <c r="C161" s="83"/>
      <c r="D161" s="83"/>
      <c r="E161" s="83"/>
      <c r="F161" s="83"/>
      <c r="G161" s="83"/>
      <c r="H161" s="83"/>
      <c r="I161" s="83"/>
      <c r="J161" s="83"/>
      <c r="K161" s="83"/>
      <c r="L161" s="83"/>
      <c r="M161" s="83"/>
      <c r="N161" s="83"/>
      <c r="O161" s="83"/>
      <c r="P161" s="83"/>
      <c r="Q161" s="83"/>
      <c r="R161" s="83"/>
      <c r="S161" s="83"/>
      <c r="T161" s="83"/>
    </row>
    <row r="162" spans="1:20" ht="20.25" customHeight="1">
      <c r="A162" s="83"/>
      <c r="B162" s="83"/>
      <c r="C162" s="83"/>
      <c r="D162" s="83"/>
      <c r="E162" s="83"/>
      <c r="F162" s="83"/>
      <c r="G162" s="83"/>
      <c r="H162" s="83"/>
      <c r="I162" s="83"/>
      <c r="J162" s="83"/>
      <c r="K162" s="83"/>
      <c r="L162" s="83"/>
      <c r="M162" s="83"/>
      <c r="N162" s="83"/>
      <c r="O162" s="83"/>
      <c r="P162" s="83"/>
      <c r="Q162" s="83"/>
      <c r="R162" s="83"/>
      <c r="S162" s="83"/>
      <c r="T162" s="83"/>
    </row>
    <row r="163" spans="1:20" ht="20.25" customHeight="1">
      <c r="A163" s="83"/>
      <c r="B163" s="83"/>
      <c r="C163" s="83"/>
      <c r="D163" s="83"/>
      <c r="E163" s="83"/>
      <c r="F163" s="83"/>
      <c r="G163" s="83"/>
      <c r="H163" s="83"/>
      <c r="I163" s="83"/>
      <c r="J163" s="83"/>
      <c r="K163" s="83"/>
      <c r="L163" s="83"/>
      <c r="M163" s="83"/>
      <c r="N163" s="83"/>
      <c r="O163" s="83"/>
      <c r="P163" s="83"/>
      <c r="Q163" s="83"/>
      <c r="R163" s="83"/>
      <c r="S163" s="83"/>
      <c r="T163" s="83"/>
    </row>
    <row r="164" spans="1:20" ht="20.25" customHeight="1">
      <c r="A164" s="83"/>
      <c r="B164" s="83"/>
      <c r="C164" s="83"/>
      <c r="D164" s="83"/>
      <c r="E164" s="83"/>
      <c r="F164" s="83"/>
      <c r="G164" s="83"/>
      <c r="H164" s="83"/>
      <c r="I164" s="83"/>
      <c r="J164" s="83"/>
      <c r="K164" s="83"/>
      <c r="L164" s="83"/>
      <c r="M164" s="83"/>
      <c r="N164" s="83"/>
      <c r="O164" s="83"/>
      <c r="P164" s="83"/>
      <c r="Q164" s="83"/>
      <c r="R164" s="83"/>
      <c r="S164" s="83"/>
      <c r="T164" s="83"/>
    </row>
    <row r="165" spans="1:20" ht="20.25" customHeight="1">
      <c r="A165" s="83"/>
      <c r="B165" s="83"/>
      <c r="C165" s="83"/>
      <c r="D165" s="83"/>
      <c r="E165" s="83"/>
      <c r="F165" s="83"/>
      <c r="G165" s="83"/>
      <c r="H165" s="83"/>
      <c r="I165" s="83"/>
      <c r="J165" s="83"/>
      <c r="K165" s="83"/>
      <c r="L165" s="83"/>
      <c r="M165" s="83"/>
      <c r="N165" s="83"/>
      <c r="O165" s="83"/>
      <c r="P165" s="83"/>
      <c r="Q165" s="83"/>
      <c r="R165" s="83"/>
      <c r="S165" s="83"/>
      <c r="T165" s="83"/>
    </row>
    <row r="166" spans="1:20" ht="20.25" customHeight="1">
      <c r="A166" s="83"/>
      <c r="B166" s="83"/>
      <c r="C166" s="83"/>
      <c r="D166" s="83"/>
      <c r="E166" s="83"/>
      <c r="F166" s="83"/>
      <c r="G166" s="83"/>
      <c r="H166" s="83"/>
      <c r="I166" s="83"/>
      <c r="J166" s="83"/>
      <c r="K166" s="83"/>
      <c r="L166" s="83"/>
      <c r="M166" s="83"/>
      <c r="N166" s="83"/>
      <c r="O166" s="83"/>
      <c r="P166" s="83"/>
      <c r="Q166" s="83"/>
      <c r="R166" s="83"/>
      <c r="S166" s="83"/>
      <c r="T166" s="83"/>
    </row>
    <row r="167" spans="1:20" ht="20.25" customHeight="1">
      <c r="A167" s="83"/>
      <c r="B167" s="83"/>
      <c r="C167" s="83"/>
      <c r="D167" s="83"/>
      <c r="E167" s="83"/>
      <c r="F167" s="83"/>
      <c r="G167" s="83"/>
      <c r="H167" s="83"/>
      <c r="I167" s="83"/>
      <c r="J167" s="83"/>
      <c r="K167" s="83"/>
      <c r="L167" s="83"/>
      <c r="M167" s="83"/>
      <c r="N167" s="83"/>
      <c r="O167" s="83"/>
      <c r="P167" s="83"/>
      <c r="Q167" s="83"/>
      <c r="R167" s="83"/>
      <c r="S167" s="83"/>
      <c r="T167" s="83"/>
    </row>
    <row r="168" spans="1:20" ht="20.25" customHeight="1">
      <c r="A168" s="83"/>
      <c r="B168" s="83"/>
      <c r="C168" s="83"/>
      <c r="D168" s="83"/>
      <c r="E168" s="83"/>
      <c r="F168" s="83"/>
      <c r="G168" s="83"/>
      <c r="H168" s="83"/>
      <c r="I168" s="83"/>
      <c r="J168" s="83"/>
      <c r="K168" s="83"/>
      <c r="L168" s="83"/>
      <c r="M168" s="83"/>
      <c r="N168" s="83"/>
      <c r="O168" s="83"/>
      <c r="P168" s="83"/>
      <c r="Q168" s="83"/>
      <c r="R168" s="83"/>
      <c r="S168" s="83"/>
      <c r="T168" s="83"/>
    </row>
    <row r="169" spans="1:20" ht="20.25" customHeight="1">
      <c r="A169" s="83"/>
      <c r="B169" s="83"/>
      <c r="C169" s="83"/>
      <c r="D169" s="83"/>
      <c r="E169" s="83"/>
      <c r="F169" s="83"/>
      <c r="G169" s="83"/>
      <c r="H169" s="83"/>
      <c r="I169" s="83"/>
      <c r="J169" s="83"/>
      <c r="K169" s="83"/>
      <c r="L169" s="83"/>
      <c r="M169" s="83"/>
      <c r="N169" s="83"/>
      <c r="O169" s="83"/>
      <c r="P169" s="83"/>
      <c r="Q169" s="83"/>
      <c r="R169" s="83"/>
      <c r="S169" s="83"/>
      <c r="T169" s="83"/>
    </row>
    <row r="170" spans="1:20" ht="20.25" customHeight="1">
      <c r="A170" s="83"/>
      <c r="B170" s="83"/>
      <c r="C170" s="83"/>
      <c r="D170" s="83"/>
      <c r="E170" s="83"/>
      <c r="F170" s="83"/>
      <c r="G170" s="83"/>
      <c r="H170" s="83"/>
      <c r="I170" s="83"/>
      <c r="J170" s="83"/>
      <c r="K170" s="83"/>
      <c r="L170" s="83"/>
      <c r="M170" s="83"/>
      <c r="N170" s="83"/>
      <c r="O170" s="83"/>
      <c r="P170" s="83"/>
      <c r="Q170" s="83"/>
      <c r="R170" s="83"/>
      <c r="S170" s="83"/>
      <c r="T170" s="83"/>
    </row>
    <row r="171" spans="1:20" ht="20.25" customHeight="1">
      <c r="A171" s="83"/>
      <c r="B171" s="83"/>
      <c r="C171" s="83"/>
      <c r="D171" s="83"/>
      <c r="E171" s="83"/>
      <c r="F171" s="83"/>
      <c r="G171" s="83"/>
      <c r="H171" s="83"/>
      <c r="I171" s="83"/>
      <c r="J171" s="83"/>
      <c r="K171" s="83"/>
      <c r="L171" s="83"/>
      <c r="M171" s="83"/>
      <c r="N171" s="83"/>
      <c r="O171" s="83"/>
      <c r="P171" s="83"/>
      <c r="Q171" s="83"/>
      <c r="R171" s="83"/>
      <c r="S171" s="83"/>
      <c r="T171" s="83"/>
    </row>
    <row r="172" spans="1:20" ht="20.25" customHeight="1">
      <c r="A172" s="83"/>
      <c r="B172" s="83"/>
      <c r="C172" s="83"/>
      <c r="D172" s="83"/>
      <c r="E172" s="83"/>
      <c r="F172" s="83"/>
      <c r="G172" s="83"/>
      <c r="H172" s="83"/>
      <c r="I172" s="83"/>
      <c r="J172" s="83"/>
      <c r="K172" s="83"/>
      <c r="L172" s="83"/>
      <c r="M172" s="83"/>
      <c r="N172" s="83"/>
      <c r="O172" s="83"/>
      <c r="P172" s="83"/>
      <c r="Q172" s="83"/>
      <c r="R172" s="83"/>
      <c r="S172" s="83"/>
      <c r="T172" s="83"/>
    </row>
    <row r="173" spans="1:20" ht="20.25" customHeight="1">
      <c r="A173" s="83"/>
      <c r="B173" s="83"/>
      <c r="C173" s="83"/>
      <c r="D173" s="83"/>
      <c r="E173" s="83"/>
      <c r="F173" s="83"/>
      <c r="G173" s="83"/>
      <c r="H173" s="83"/>
      <c r="I173" s="83"/>
      <c r="J173" s="83"/>
      <c r="K173" s="83"/>
      <c r="L173" s="83"/>
      <c r="M173" s="83"/>
      <c r="N173" s="83"/>
      <c r="O173" s="83"/>
      <c r="P173" s="83"/>
      <c r="Q173" s="83"/>
      <c r="R173" s="83"/>
      <c r="S173" s="83"/>
      <c r="T173" s="83"/>
    </row>
    <row r="174" spans="1:20" ht="20.25" customHeight="1">
      <c r="A174" s="83"/>
      <c r="B174" s="83"/>
      <c r="C174" s="83"/>
      <c r="D174" s="83"/>
      <c r="E174" s="83"/>
      <c r="F174" s="83"/>
      <c r="G174" s="83"/>
      <c r="H174" s="83"/>
      <c r="I174" s="83"/>
      <c r="J174" s="83"/>
      <c r="K174" s="83"/>
      <c r="L174" s="83"/>
      <c r="M174" s="83"/>
      <c r="N174" s="83"/>
      <c r="O174" s="83"/>
      <c r="P174" s="83"/>
      <c r="Q174" s="83"/>
      <c r="R174" s="83"/>
      <c r="S174" s="83"/>
      <c r="T174" s="83"/>
    </row>
    <row r="175" spans="1:20" ht="20.25" customHeight="1">
      <c r="A175" s="83"/>
      <c r="B175" s="83"/>
      <c r="C175" s="83"/>
      <c r="D175" s="83"/>
      <c r="E175" s="83"/>
      <c r="F175" s="83"/>
      <c r="G175" s="83"/>
      <c r="H175" s="83"/>
      <c r="I175" s="83"/>
      <c r="J175" s="83"/>
      <c r="K175" s="83"/>
      <c r="L175" s="83"/>
      <c r="M175" s="83"/>
      <c r="N175" s="83"/>
      <c r="O175" s="83"/>
      <c r="P175" s="83"/>
      <c r="Q175" s="83"/>
      <c r="R175" s="83"/>
      <c r="S175" s="83"/>
      <c r="T175" s="83"/>
    </row>
    <row r="176" spans="1:20" ht="20.25" customHeight="1">
      <c r="A176" s="83"/>
      <c r="B176" s="83"/>
      <c r="C176" s="83"/>
      <c r="D176" s="83"/>
      <c r="E176" s="83"/>
      <c r="F176" s="83"/>
      <c r="G176" s="83"/>
      <c r="H176" s="83"/>
      <c r="I176" s="83"/>
      <c r="J176" s="83"/>
      <c r="K176" s="83"/>
      <c r="L176" s="83"/>
      <c r="M176" s="83"/>
      <c r="N176" s="83"/>
      <c r="O176" s="83"/>
      <c r="P176" s="83"/>
      <c r="Q176" s="83"/>
      <c r="R176" s="83"/>
      <c r="S176" s="83"/>
      <c r="T176" s="83"/>
    </row>
    <row r="177" spans="1:20" ht="20.25" customHeight="1">
      <c r="A177" s="83"/>
      <c r="B177" s="83"/>
      <c r="C177" s="83"/>
      <c r="D177" s="83"/>
      <c r="E177" s="83"/>
      <c r="F177" s="83"/>
      <c r="G177" s="83"/>
      <c r="H177" s="83"/>
      <c r="I177" s="83"/>
      <c r="J177" s="83"/>
      <c r="K177" s="83"/>
      <c r="L177" s="83"/>
      <c r="M177" s="83"/>
      <c r="N177" s="83"/>
      <c r="O177" s="83"/>
      <c r="P177" s="83"/>
      <c r="Q177" s="83"/>
      <c r="R177" s="83"/>
      <c r="S177" s="83"/>
      <c r="T177" s="83"/>
    </row>
    <row r="178" spans="1:20" ht="20.25" customHeight="1">
      <c r="A178" s="83"/>
      <c r="B178" s="83"/>
      <c r="C178" s="83"/>
      <c r="D178" s="83"/>
      <c r="E178" s="83"/>
      <c r="F178" s="83"/>
      <c r="G178" s="83"/>
      <c r="H178" s="83"/>
      <c r="I178" s="83"/>
      <c r="J178" s="83"/>
      <c r="K178" s="83"/>
      <c r="L178" s="83"/>
      <c r="M178" s="83"/>
      <c r="N178" s="83"/>
      <c r="O178" s="83"/>
      <c r="P178" s="83"/>
      <c r="Q178" s="83"/>
      <c r="R178" s="83"/>
      <c r="S178" s="83"/>
      <c r="T178" s="83"/>
    </row>
    <row r="179" spans="1:20" ht="20.25" customHeight="1">
      <c r="A179" s="83"/>
      <c r="B179" s="83"/>
      <c r="C179" s="83"/>
      <c r="D179" s="83"/>
      <c r="E179" s="83"/>
      <c r="F179" s="83"/>
      <c r="G179" s="83"/>
      <c r="H179" s="83"/>
      <c r="I179" s="83"/>
      <c r="J179" s="83"/>
      <c r="K179" s="83"/>
      <c r="L179" s="83"/>
      <c r="M179" s="83"/>
      <c r="N179" s="83"/>
      <c r="O179" s="83"/>
      <c r="P179" s="83"/>
      <c r="Q179" s="83"/>
      <c r="R179" s="83"/>
      <c r="S179" s="83"/>
      <c r="T179" s="83"/>
    </row>
    <row r="180" spans="1:20" ht="20.25" customHeight="1">
      <c r="A180" s="83"/>
      <c r="B180" s="83"/>
      <c r="C180" s="83"/>
      <c r="D180" s="83"/>
      <c r="E180" s="83"/>
      <c r="F180" s="83"/>
      <c r="G180" s="83"/>
      <c r="H180" s="83"/>
      <c r="I180" s="83"/>
      <c r="J180" s="83"/>
      <c r="K180" s="83"/>
      <c r="L180" s="83"/>
      <c r="M180" s="83"/>
      <c r="N180" s="83"/>
      <c r="O180" s="83"/>
      <c r="P180" s="83"/>
      <c r="Q180" s="83"/>
      <c r="R180" s="83"/>
      <c r="S180" s="83"/>
      <c r="T180" s="83"/>
    </row>
    <row r="181" spans="1:20" ht="20.25" customHeight="1">
      <c r="A181" s="83"/>
      <c r="B181" s="83"/>
      <c r="C181" s="83"/>
      <c r="D181" s="83"/>
      <c r="E181" s="83"/>
      <c r="F181" s="83"/>
      <c r="G181" s="83"/>
      <c r="H181" s="83"/>
      <c r="I181" s="83"/>
      <c r="J181" s="83"/>
      <c r="K181" s="83"/>
      <c r="L181" s="83"/>
      <c r="M181" s="83"/>
      <c r="N181" s="83"/>
      <c r="O181" s="83"/>
      <c r="P181" s="83"/>
      <c r="Q181" s="83"/>
      <c r="R181" s="83"/>
      <c r="S181" s="83"/>
      <c r="T181" s="83"/>
    </row>
    <row r="182" spans="1:20" ht="20.25" customHeight="1">
      <c r="A182" s="83"/>
      <c r="B182" s="83"/>
      <c r="C182" s="83"/>
      <c r="D182" s="83"/>
      <c r="E182" s="83"/>
      <c r="F182" s="83"/>
      <c r="G182" s="83"/>
      <c r="H182" s="83"/>
      <c r="I182" s="83"/>
      <c r="J182" s="83"/>
      <c r="K182" s="83"/>
      <c r="L182" s="83"/>
      <c r="M182" s="83"/>
      <c r="N182" s="83"/>
      <c r="O182" s="83"/>
      <c r="P182" s="83"/>
      <c r="Q182" s="83"/>
      <c r="R182" s="83"/>
      <c r="S182" s="83"/>
      <c r="T182" s="83"/>
    </row>
    <row r="183" spans="1:20" ht="20.25" customHeight="1">
      <c r="A183" s="83"/>
      <c r="B183" s="83"/>
      <c r="C183" s="83"/>
      <c r="D183" s="83"/>
      <c r="E183" s="83"/>
      <c r="F183" s="83"/>
      <c r="G183" s="83"/>
      <c r="H183" s="83"/>
      <c r="I183" s="83"/>
      <c r="J183" s="83"/>
      <c r="K183" s="83"/>
      <c r="L183" s="83"/>
      <c r="M183" s="83"/>
      <c r="N183" s="83"/>
      <c r="O183" s="83"/>
      <c r="P183" s="83"/>
      <c r="Q183" s="83"/>
      <c r="R183" s="83"/>
      <c r="S183" s="83"/>
      <c r="T183" s="83"/>
    </row>
    <row r="184" spans="1:20" ht="20.25" customHeight="1">
      <c r="A184" s="83"/>
      <c r="B184" s="83"/>
      <c r="C184" s="83"/>
      <c r="D184" s="83"/>
      <c r="E184" s="83"/>
      <c r="F184" s="83"/>
      <c r="G184" s="83"/>
      <c r="H184" s="83"/>
      <c r="I184" s="83"/>
      <c r="J184" s="83"/>
      <c r="K184" s="83"/>
      <c r="L184" s="83"/>
      <c r="M184" s="83"/>
      <c r="N184" s="83"/>
      <c r="O184" s="83"/>
      <c r="P184" s="83"/>
      <c r="Q184" s="83"/>
      <c r="R184" s="83"/>
      <c r="S184" s="83"/>
      <c r="T184" s="83"/>
    </row>
    <row r="185" spans="1:20" ht="20.25" customHeight="1">
      <c r="A185" s="83"/>
      <c r="B185" s="83"/>
      <c r="C185" s="83"/>
      <c r="D185" s="83"/>
      <c r="E185" s="83"/>
      <c r="F185" s="83"/>
      <c r="G185" s="83"/>
      <c r="H185" s="83"/>
      <c r="I185" s="83"/>
      <c r="J185" s="83"/>
      <c r="K185" s="83"/>
      <c r="L185" s="83"/>
      <c r="M185" s="83"/>
      <c r="N185" s="83"/>
      <c r="O185" s="83"/>
      <c r="P185" s="83"/>
      <c r="Q185" s="83"/>
      <c r="R185" s="83"/>
      <c r="S185" s="83"/>
      <c r="T185" s="83"/>
    </row>
    <row r="186" spans="1:20" ht="20.25" customHeight="1">
      <c r="A186" s="83"/>
      <c r="B186" s="83"/>
      <c r="C186" s="83"/>
      <c r="D186" s="83"/>
      <c r="E186" s="83"/>
      <c r="F186" s="83"/>
      <c r="G186" s="83"/>
      <c r="H186" s="83"/>
      <c r="I186" s="83"/>
      <c r="J186" s="83"/>
      <c r="K186" s="83"/>
      <c r="L186" s="83"/>
      <c r="M186" s="83"/>
      <c r="N186" s="83"/>
      <c r="O186" s="83"/>
      <c r="P186" s="83"/>
      <c r="Q186" s="83"/>
      <c r="R186" s="83"/>
      <c r="S186" s="83"/>
      <c r="T186" s="83"/>
    </row>
    <row r="187" spans="1:20" ht="20.25" customHeight="1">
      <c r="A187" s="83"/>
      <c r="B187" s="83"/>
      <c r="C187" s="83"/>
      <c r="D187" s="83"/>
      <c r="E187" s="83"/>
      <c r="F187" s="83"/>
      <c r="G187" s="83"/>
      <c r="H187" s="83"/>
      <c r="I187" s="83"/>
      <c r="J187" s="83"/>
      <c r="K187" s="83"/>
      <c r="L187" s="83"/>
      <c r="M187" s="83"/>
      <c r="N187" s="83"/>
      <c r="O187" s="83"/>
      <c r="P187" s="83"/>
      <c r="Q187" s="83"/>
      <c r="R187" s="83"/>
      <c r="S187" s="83"/>
      <c r="T187" s="83"/>
    </row>
    <row r="188" spans="1:20" ht="20.25" customHeight="1">
      <c r="A188" s="83"/>
      <c r="B188" s="83"/>
      <c r="C188" s="83"/>
      <c r="D188" s="83"/>
      <c r="E188" s="83"/>
      <c r="F188" s="83"/>
      <c r="G188" s="83"/>
      <c r="H188" s="83"/>
      <c r="I188" s="83"/>
      <c r="J188" s="83"/>
      <c r="K188" s="83"/>
      <c r="L188" s="83"/>
      <c r="M188" s="83"/>
      <c r="N188" s="83"/>
      <c r="O188" s="83"/>
      <c r="P188" s="83"/>
      <c r="Q188" s="83"/>
      <c r="R188" s="83"/>
      <c r="S188" s="83"/>
      <c r="T188" s="83"/>
    </row>
    <row r="189" spans="1:20" ht="20.25" customHeight="1">
      <c r="A189" s="83"/>
      <c r="B189" s="83"/>
      <c r="C189" s="83"/>
      <c r="D189" s="83"/>
      <c r="E189" s="83"/>
      <c r="F189" s="83"/>
      <c r="G189" s="83"/>
      <c r="H189" s="83"/>
      <c r="I189" s="83"/>
      <c r="J189" s="83"/>
      <c r="K189" s="83"/>
      <c r="L189" s="83"/>
      <c r="M189" s="83"/>
      <c r="N189" s="83"/>
      <c r="O189" s="83"/>
      <c r="P189" s="83"/>
      <c r="Q189" s="83"/>
      <c r="R189" s="83"/>
      <c r="S189" s="83"/>
      <c r="T189" s="83"/>
    </row>
    <row r="190" spans="1:20" ht="20.25" customHeight="1">
      <c r="A190" s="83"/>
      <c r="B190" s="83"/>
      <c r="C190" s="83"/>
      <c r="D190" s="83"/>
      <c r="E190" s="83"/>
      <c r="F190" s="83"/>
      <c r="G190" s="83"/>
      <c r="H190" s="83"/>
      <c r="I190" s="83"/>
      <c r="J190" s="83"/>
      <c r="K190" s="83"/>
      <c r="L190" s="83"/>
      <c r="M190" s="83"/>
      <c r="N190" s="83"/>
      <c r="O190" s="83"/>
      <c r="P190" s="83"/>
      <c r="Q190" s="83"/>
      <c r="R190" s="83"/>
      <c r="S190" s="83"/>
      <c r="T190" s="83"/>
    </row>
    <row r="191" spans="1:20" ht="20.25" customHeight="1">
      <c r="A191" s="83"/>
      <c r="B191" s="83"/>
      <c r="C191" s="83"/>
      <c r="D191" s="83"/>
      <c r="E191" s="83"/>
      <c r="F191" s="83"/>
      <c r="G191" s="83"/>
      <c r="H191" s="83"/>
      <c r="I191" s="83"/>
      <c r="J191" s="83"/>
      <c r="K191" s="83"/>
      <c r="L191" s="83"/>
      <c r="M191" s="83"/>
      <c r="N191" s="83"/>
      <c r="O191" s="83"/>
      <c r="P191" s="83"/>
      <c r="Q191" s="83"/>
      <c r="R191" s="83"/>
      <c r="S191" s="83"/>
      <c r="T191" s="83"/>
    </row>
    <row r="192" spans="1:20" ht="20.25" customHeight="1">
      <c r="A192" s="83"/>
      <c r="B192" s="83"/>
      <c r="C192" s="83"/>
      <c r="D192" s="83"/>
      <c r="E192" s="83"/>
      <c r="F192" s="83"/>
      <c r="G192" s="83"/>
      <c r="H192" s="83"/>
      <c r="I192" s="83"/>
      <c r="J192" s="83"/>
      <c r="K192" s="83"/>
      <c r="L192" s="83"/>
      <c r="M192" s="83"/>
      <c r="N192" s="83"/>
      <c r="O192" s="83"/>
      <c r="P192" s="83"/>
      <c r="Q192" s="83"/>
      <c r="R192" s="83"/>
      <c r="S192" s="83"/>
      <c r="T192" s="83"/>
    </row>
    <row r="193" spans="1:20" ht="20.25" customHeight="1">
      <c r="A193" s="83"/>
      <c r="B193" s="83"/>
      <c r="C193" s="83"/>
      <c r="D193" s="83"/>
      <c r="E193" s="83"/>
      <c r="F193" s="83"/>
      <c r="G193" s="83"/>
      <c r="H193" s="83"/>
      <c r="I193" s="83"/>
      <c r="J193" s="83"/>
      <c r="K193" s="83"/>
      <c r="L193" s="83"/>
      <c r="M193" s="83"/>
      <c r="N193" s="83"/>
      <c r="O193" s="83"/>
      <c r="P193" s="83"/>
      <c r="Q193" s="83"/>
      <c r="R193" s="83"/>
      <c r="S193" s="83"/>
      <c r="T193" s="83"/>
    </row>
    <row r="194" spans="1:20" ht="20.25" customHeight="1">
      <c r="A194" s="83"/>
      <c r="B194" s="83"/>
      <c r="C194" s="83"/>
      <c r="D194" s="83"/>
      <c r="E194" s="83"/>
      <c r="F194" s="83"/>
      <c r="G194" s="83"/>
      <c r="H194" s="83"/>
      <c r="I194" s="83"/>
      <c r="J194" s="83"/>
      <c r="K194" s="83"/>
      <c r="L194" s="83"/>
      <c r="M194" s="83"/>
      <c r="N194" s="83"/>
      <c r="O194" s="83"/>
      <c r="P194" s="83"/>
      <c r="Q194" s="83"/>
      <c r="R194" s="83"/>
      <c r="S194" s="83"/>
      <c r="T194" s="83"/>
    </row>
    <row r="195" spans="1:20" ht="20.25" customHeight="1">
      <c r="A195" s="83"/>
      <c r="B195" s="83"/>
      <c r="C195" s="83"/>
      <c r="D195" s="83"/>
      <c r="E195" s="83"/>
      <c r="F195" s="83"/>
      <c r="G195" s="83"/>
      <c r="H195" s="83"/>
      <c r="I195" s="83"/>
      <c r="J195" s="83"/>
      <c r="K195" s="83"/>
      <c r="L195" s="83"/>
      <c r="M195" s="83"/>
      <c r="N195" s="83"/>
      <c r="O195" s="83"/>
      <c r="P195" s="83"/>
      <c r="Q195" s="83"/>
      <c r="R195" s="83"/>
      <c r="S195" s="83"/>
      <c r="T195" s="83"/>
    </row>
    <row r="196" spans="1:20" ht="20.25" customHeight="1">
      <c r="A196" s="83"/>
      <c r="B196" s="83"/>
      <c r="C196" s="83"/>
      <c r="D196" s="83"/>
      <c r="E196" s="83"/>
      <c r="F196" s="83"/>
      <c r="G196" s="83"/>
      <c r="H196" s="83"/>
      <c r="I196" s="83"/>
      <c r="J196" s="83"/>
      <c r="K196" s="83"/>
      <c r="L196" s="83"/>
      <c r="M196" s="83"/>
      <c r="N196" s="83"/>
      <c r="O196" s="83"/>
      <c r="P196" s="83"/>
      <c r="Q196" s="83"/>
      <c r="R196" s="83"/>
      <c r="S196" s="83"/>
      <c r="T196" s="83"/>
    </row>
    <row r="197" spans="1:20" ht="20.25" customHeight="1">
      <c r="A197" s="83"/>
      <c r="B197" s="83"/>
      <c r="C197" s="83"/>
      <c r="D197" s="83"/>
      <c r="E197" s="83"/>
      <c r="F197" s="83"/>
      <c r="G197" s="83"/>
      <c r="H197" s="83"/>
      <c r="I197" s="83"/>
      <c r="J197" s="83"/>
      <c r="K197" s="83"/>
      <c r="L197" s="83"/>
      <c r="M197" s="83"/>
      <c r="N197" s="83"/>
      <c r="O197" s="83"/>
      <c r="P197" s="83"/>
      <c r="Q197" s="83"/>
      <c r="R197" s="83"/>
      <c r="S197" s="83"/>
      <c r="T197" s="83"/>
    </row>
    <row r="198" spans="1:20" ht="20.25" customHeight="1">
      <c r="A198" s="83"/>
      <c r="B198" s="83"/>
      <c r="C198" s="83"/>
      <c r="D198" s="83"/>
      <c r="E198" s="83"/>
      <c r="F198" s="83"/>
      <c r="G198" s="83"/>
      <c r="H198" s="83"/>
      <c r="I198" s="83"/>
      <c r="J198" s="83"/>
      <c r="K198" s="83"/>
      <c r="L198" s="83"/>
      <c r="M198" s="83"/>
      <c r="N198" s="83"/>
      <c r="O198" s="83"/>
      <c r="P198" s="83"/>
      <c r="Q198" s="83"/>
      <c r="R198" s="83"/>
      <c r="S198" s="83"/>
      <c r="T198" s="83"/>
    </row>
    <row r="199" spans="1:20" ht="20.25" customHeight="1">
      <c r="A199" s="83"/>
      <c r="B199" s="83"/>
      <c r="C199" s="83"/>
      <c r="D199" s="83"/>
      <c r="E199" s="83"/>
      <c r="F199" s="83"/>
      <c r="G199" s="83"/>
      <c r="H199" s="83"/>
      <c r="I199" s="83"/>
      <c r="J199" s="83"/>
      <c r="K199" s="83"/>
      <c r="L199" s="83"/>
      <c r="M199" s="83"/>
      <c r="N199" s="83"/>
      <c r="O199" s="83"/>
      <c r="P199" s="83"/>
      <c r="Q199" s="83"/>
      <c r="R199" s="83"/>
      <c r="S199" s="83"/>
      <c r="T199" s="83"/>
    </row>
    <row r="200" spans="1:20" ht="20.25" customHeight="1">
      <c r="A200" s="83"/>
      <c r="B200" s="83"/>
      <c r="C200" s="83"/>
      <c r="D200" s="83"/>
      <c r="E200" s="83"/>
      <c r="F200" s="83"/>
      <c r="G200" s="83"/>
      <c r="H200" s="83"/>
      <c r="I200" s="83"/>
      <c r="J200" s="83"/>
      <c r="K200" s="83"/>
      <c r="L200" s="83"/>
      <c r="M200" s="83"/>
      <c r="N200" s="83"/>
      <c r="O200" s="83"/>
      <c r="P200" s="83"/>
      <c r="Q200" s="83"/>
      <c r="R200" s="83"/>
      <c r="S200" s="83"/>
      <c r="T200" s="83"/>
    </row>
    <row r="201" spans="1:20" ht="20.25" customHeight="1">
      <c r="A201" s="83"/>
      <c r="B201" s="83"/>
      <c r="C201" s="83"/>
      <c r="D201" s="83"/>
      <c r="E201" s="83"/>
      <c r="F201" s="83"/>
      <c r="G201" s="83"/>
      <c r="H201" s="83"/>
      <c r="I201" s="83"/>
      <c r="J201" s="83"/>
      <c r="K201" s="83"/>
      <c r="L201" s="83"/>
      <c r="M201" s="83"/>
      <c r="N201" s="83"/>
      <c r="O201" s="83"/>
      <c r="P201" s="83"/>
      <c r="Q201" s="83"/>
      <c r="R201" s="83"/>
      <c r="S201" s="83"/>
      <c r="T201" s="83"/>
    </row>
    <row r="202" spans="1:20" ht="20.25" customHeight="1">
      <c r="A202" s="83"/>
      <c r="B202" s="83"/>
      <c r="C202" s="83"/>
      <c r="D202" s="83"/>
      <c r="E202" s="83"/>
      <c r="F202" s="83"/>
      <c r="G202" s="83"/>
      <c r="H202" s="83"/>
      <c r="I202" s="83"/>
      <c r="J202" s="83"/>
      <c r="K202" s="83"/>
      <c r="L202" s="83"/>
      <c r="M202" s="83"/>
      <c r="N202" s="83"/>
      <c r="O202" s="83"/>
      <c r="P202" s="83"/>
      <c r="Q202" s="83"/>
      <c r="R202" s="83"/>
      <c r="S202" s="83"/>
      <c r="T202" s="83"/>
    </row>
    <row r="203" spans="1:20" ht="20.25" customHeight="1">
      <c r="A203" s="83"/>
      <c r="B203" s="66"/>
      <c r="D203" s="66"/>
      <c r="T203" s="83"/>
    </row>
    <row r="204" spans="1:20" ht="20.25" customHeight="1">
      <c r="A204" s="83"/>
      <c r="B204" s="66"/>
      <c r="D204" s="66"/>
      <c r="T204" s="83"/>
    </row>
    <row r="205" spans="1:20" ht="20.25" customHeight="1">
      <c r="A205" s="83"/>
      <c r="B205" s="66"/>
      <c r="D205" s="66"/>
      <c r="T205" s="83"/>
    </row>
    <row r="206" spans="1:20" ht="20.25" customHeight="1">
      <c r="A206" s="83"/>
      <c r="B206" s="66"/>
      <c r="D206" s="66"/>
      <c r="T206" s="83"/>
    </row>
    <row r="207" spans="1:20" ht="20.25" customHeight="1">
      <c r="A207" s="83"/>
      <c r="B207" s="66"/>
      <c r="D207" s="66"/>
      <c r="T207" s="83"/>
    </row>
    <row r="208" spans="1:20" ht="20.25" customHeight="1">
      <c r="A208" s="83"/>
      <c r="B208" s="66"/>
      <c r="D208" s="66"/>
      <c r="T208" s="83"/>
    </row>
    <row r="209" spans="1:20" ht="20.25" customHeight="1">
      <c r="A209" s="83"/>
      <c r="B209" s="66"/>
      <c r="D209" s="66"/>
      <c r="T209" s="83"/>
    </row>
    <row r="210" spans="1:20" ht="20.25" customHeight="1">
      <c r="A210" s="66"/>
      <c r="B210" s="66"/>
      <c r="D210" s="66"/>
    </row>
    <row r="211" spans="1:20" ht="20.25" customHeight="1">
      <c r="A211" s="66"/>
      <c r="B211" s="66"/>
      <c r="D211" s="66"/>
    </row>
    <row r="212" spans="1:20" ht="20.25" customHeight="1">
      <c r="A212" s="66"/>
      <c r="B212" s="66"/>
      <c r="D212" s="66"/>
    </row>
    <row r="213" spans="1:20" ht="20.25" customHeight="1">
      <c r="A213" s="66"/>
      <c r="B213" s="66"/>
      <c r="D213" s="66"/>
    </row>
    <row r="214" spans="1:20" ht="20.25" customHeight="1">
      <c r="A214" s="66"/>
      <c r="B214" s="66"/>
      <c r="D214" s="66"/>
    </row>
    <row r="215" spans="1:20" ht="20.25" customHeight="1">
      <c r="A215" s="66"/>
      <c r="B215" s="66"/>
      <c r="D215" s="66"/>
    </row>
    <row r="216" spans="1:20" ht="20.25" customHeight="1">
      <c r="A216" s="66"/>
      <c r="B216" s="66"/>
      <c r="D216" s="66"/>
    </row>
    <row r="217" spans="1:20" ht="20.25" customHeight="1">
      <c r="A217" s="66"/>
      <c r="B217" s="66"/>
      <c r="D217" s="66"/>
    </row>
    <row r="218" spans="1:20" ht="20.25" customHeight="1">
      <c r="A218" s="66"/>
      <c r="B218" s="66"/>
      <c r="D218" s="66"/>
    </row>
    <row r="219" spans="1:20" ht="20.25" customHeight="1">
      <c r="A219" s="66"/>
      <c r="B219" s="66"/>
      <c r="D219" s="66"/>
    </row>
    <row r="220" spans="1:20" ht="20.25" customHeight="1">
      <c r="A220" s="66"/>
      <c r="B220" s="66"/>
      <c r="D220" s="66"/>
    </row>
    <row r="221" spans="1:20" ht="20.25" customHeight="1">
      <c r="A221" s="66"/>
      <c r="B221" s="66"/>
      <c r="D221" s="66"/>
    </row>
    <row r="222" spans="1:20" ht="20.25" customHeight="1">
      <c r="A222" s="66"/>
      <c r="B222" s="66"/>
      <c r="D222" s="66"/>
    </row>
    <row r="223" spans="1:20" ht="20.25" customHeight="1">
      <c r="A223" s="66"/>
      <c r="B223" s="66"/>
      <c r="D223" s="66"/>
    </row>
    <row r="224" spans="1:20" ht="20.25" customHeight="1">
      <c r="A224" s="66"/>
      <c r="B224" s="66"/>
      <c r="D224" s="66"/>
    </row>
    <row r="225" s="66" customFormat="1" ht="20.25" customHeight="1"/>
    <row r="226" s="66" customFormat="1" ht="20.25" customHeight="1"/>
    <row r="227" s="66" customFormat="1" ht="20.25" customHeight="1"/>
    <row r="228" s="66" customFormat="1" ht="20.25" customHeight="1"/>
    <row r="229" s="66" customFormat="1" ht="20.25" customHeight="1"/>
    <row r="230" s="66" customFormat="1" ht="20.25" customHeight="1"/>
    <row r="231" s="66" customFormat="1" ht="20.25" customHeight="1"/>
    <row r="232" s="66" customFormat="1" ht="20.25" customHeight="1"/>
    <row r="233" s="66" customFormat="1" ht="20.25" customHeight="1"/>
    <row r="234" s="66" customFormat="1" ht="20.25" customHeight="1"/>
    <row r="235" s="66" customFormat="1" ht="20.25" customHeight="1"/>
    <row r="236" s="66" customFormat="1" ht="20.25" customHeight="1"/>
    <row r="237" s="66" customFormat="1" ht="20.25" customHeight="1"/>
    <row r="238" s="66" customFormat="1" ht="20.25" customHeight="1"/>
    <row r="239" s="66" customFormat="1" ht="20.25" customHeight="1"/>
    <row r="240" s="66" customFormat="1" ht="20.25" customHeight="1"/>
    <row r="241" s="66" customFormat="1" ht="20.25" customHeight="1"/>
    <row r="242" s="66" customFormat="1" ht="20.25" customHeight="1"/>
    <row r="243" s="66" customFormat="1" ht="20.25" customHeight="1"/>
    <row r="244" s="66" customFormat="1" ht="20.25" customHeight="1"/>
    <row r="245" s="66" customFormat="1" ht="20.25" customHeight="1"/>
    <row r="246" s="66" customFormat="1" ht="20.25" customHeight="1"/>
    <row r="247" s="66" customFormat="1" ht="20.25" customHeight="1"/>
    <row r="248" s="66" customFormat="1" ht="20.25" customHeight="1"/>
    <row r="249" s="66" customFormat="1" ht="20.25" customHeight="1"/>
    <row r="250" s="66" customFormat="1" ht="20.25" customHeight="1"/>
    <row r="251" s="66" customFormat="1" ht="20.25" customHeight="1"/>
    <row r="252" s="66" customFormat="1" ht="20.25" customHeight="1"/>
    <row r="253" s="66" customFormat="1" ht="20.25" customHeight="1"/>
    <row r="254" s="66" customFormat="1" ht="20.25" customHeight="1"/>
    <row r="255" s="66" customFormat="1" ht="20.25" customHeight="1"/>
    <row r="256" s="66" customFormat="1" ht="20.25" customHeight="1"/>
    <row r="257" spans="1:1" ht="20.25" customHeight="1">
      <c r="A257" s="66"/>
    </row>
    <row r="258" spans="1:1" ht="20.25" customHeight="1">
      <c r="A258" s="66"/>
    </row>
    <row r="259" spans="1:1" ht="20.25" customHeight="1">
      <c r="A259" s="66"/>
    </row>
    <row r="260" spans="1:1" ht="20.25" customHeight="1">
      <c r="A260" s="66"/>
    </row>
    <row r="261" spans="1:1" ht="20.25" customHeight="1">
      <c r="A261" s="66"/>
    </row>
    <row r="262" spans="1:1" ht="20.25" customHeight="1">
      <c r="A262" s="66"/>
    </row>
    <row r="263" spans="1:1" ht="20.25" customHeight="1">
      <c r="A263" s="66"/>
    </row>
  </sheetData>
  <pageMargins left="0.7" right="0.7" top="0.75" bottom="0.75" header="0.3" footer="0.3"/>
  <drawing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6E7A0-3FFA-2C4E-B1F9-A3658414F4BF}">
  <sheetPr>
    <tabColor theme="9"/>
  </sheetPr>
  <dimension ref="A1:B59"/>
  <sheetViews>
    <sheetView zoomScaleNormal="100" workbookViewId="0">
      <selection activeCell="H36" sqref="H36"/>
    </sheetView>
  </sheetViews>
  <sheetFormatPr baseColWidth="10" defaultRowHeight="16"/>
  <cols>
    <col min="2" max="2" width="31" customWidth="1"/>
    <col min="3" max="4" width="26.6640625" customWidth="1"/>
  </cols>
  <sheetData>
    <row r="1" spans="1:2" ht="120">
      <c r="A1" s="117" t="s">
        <v>112</v>
      </c>
      <c r="B1" s="118" t="s">
        <v>113</v>
      </c>
    </row>
    <row r="2" spans="1:2">
      <c r="A2" s="120">
        <v>40359</v>
      </c>
      <c r="B2" s="121">
        <v>257806500</v>
      </c>
    </row>
    <row r="3" spans="1:2">
      <c r="A3" s="120">
        <v>40451</v>
      </c>
      <c r="B3" s="121">
        <v>32937000</v>
      </c>
    </row>
    <row r="4" spans="1:2">
      <c r="A4" s="120">
        <v>40542</v>
      </c>
      <c r="B4" s="121">
        <v>30616500</v>
      </c>
    </row>
    <row r="5" spans="1:2">
      <c r="A5" s="120">
        <v>40633</v>
      </c>
      <c r="B5" s="121">
        <v>172767000</v>
      </c>
    </row>
    <row r="6" spans="1:2">
      <c r="A6" s="120">
        <v>40724</v>
      </c>
      <c r="B6" s="121">
        <v>14200500</v>
      </c>
    </row>
    <row r="7" spans="1:2">
      <c r="A7" s="120">
        <v>40816</v>
      </c>
      <c r="B7" s="121">
        <v>20041500</v>
      </c>
    </row>
    <row r="8" spans="1:2">
      <c r="A8" s="120">
        <v>40907</v>
      </c>
      <c r="B8" s="121">
        <v>5097000</v>
      </c>
    </row>
    <row r="9" spans="1:2">
      <c r="A9" s="120">
        <v>40998</v>
      </c>
      <c r="B9" s="121">
        <v>13296000</v>
      </c>
    </row>
    <row r="10" spans="1:2">
      <c r="A10" s="120">
        <v>41089</v>
      </c>
      <c r="B10" s="121">
        <v>16887000</v>
      </c>
    </row>
    <row r="11" spans="1:2">
      <c r="A11" s="120">
        <v>41180</v>
      </c>
      <c r="B11" s="121">
        <v>65151000</v>
      </c>
    </row>
    <row r="12" spans="1:2">
      <c r="A12" s="120">
        <v>41274</v>
      </c>
      <c r="B12" s="121">
        <v>8923500</v>
      </c>
    </row>
    <row r="13" spans="1:2">
      <c r="A13" s="120">
        <v>41361</v>
      </c>
      <c r="B13" s="121">
        <v>17380500</v>
      </c>
    </row>
    <row r="14" spans="1:2">
      <c r="A14" s="120">
        <v>41453</v>
      </c>
      <c r="B14" s="121">
        <v>86229000</v>
      </c>
    </row>
    <row r="15" spans="1:2">
      <c r="A15" s="120">
        <v>41547</v>
      </c>
      <c r="B15" s="121">
        <v>133870500</v>
      </c>
    </row>
    <row r="16" spans="1:2">
      <c r="A16" s="120">
        <v>41638</v>
      </c>
      <c r="B16" s="121">
        <v>67012500</v>
      </c>
    </row>
    <row r="17" spans="1:2">
      <c r="A17" s="120">
        <v>41729</v>
      </c>
      <c r="B17" s="121">
        <v>125700000</v>
      </c>
    </row>
    <row r="18" spans="1:2">
      <c r="A18" s="120">
        <v>41820</v>
      </c>
      <c r="B18" s="121">
        <v>72429000</v>
      </c>
    </row>
    <row r="19" spans="1:2">
      <c r="A19" s="120">
        <v>41912</v>
      </c>
      <c r="B19" s="121">
        <v>63574500</v>
      </c>
    </row>
    <row r="20" spans="1:2">
      <c r="A20" s="120">
        <v>42003</v>
      </c>
      <c r="B20" s="121">
        <v>43548000</v>
      </c>
    </row>
    <row r="21" spans="1:2">
      <c r="A21" s="120">
        <v>42094</v>
      </c>
      <c r="B21" s="121">
        <v>75399000</v>
      </c>
    </row>
    <row r="22" spans="1:2">
      <c r="A22" s="120">
        <v>42185</v>
      </c>
      <c r="B22" s="121">
        <v>46303500</v>
      </c>
    </row>
    <row r="23" spans="1:2">
      <c r="A23" s="120">
        <v>42277</v>
      </c>
      <c r="B23" s="121">
        <v>73944000</v>
      </c>
    </row>
    <row r="24" spans="1:2">
      <c r="A24" s="120">
        <v>42368</v>
      </c>
      <c r="B24" s="121">
        <v>55468500</v>
      </c>
    </row>
    <row r="25" spans="1:2">
      <c r="A25" s="120">
        <v>42460</v>
      </c>
      <c r="B25" s="121">
        <v>120193500</v>
      </c>
    </row>
    <row r="26" spans="1:2">
      <c r="A26" s="120">
        <v>42551</v>
      </c>
      <c r="B26" s="121">
        <v>72646500</v>
      </c>
    </row>
    <row r="27" spans="1:2">
      <c r="A27" s="120">
        <v>42643</v>
      </c>
      <c r="B27" s="121">
        <v>38794500</v>
      </c>
    </row>
    <row r="28" spans="1:2">
      <c r="A28" s="120">
        <v>42734</v>
      </c>
      <c r="B28" s="121">
        <v>69639000</v>
      </c>
    </row>
    <row r="29" spans="1:2">
      <c r="A29" s="120">
        <v>42825</v>
      </c>
      <c r="B29" s="121">
        <v>49419000</v>
      </c>
    </row>
    <row r="30" spans="1:2">
      <c r="A30" s="120">
        <v>42916</v>
      </c>
      <c r="B30" s="121">
        <v>87727500</v>
      </c>
    </row>
    <row r="31" spans="1:2">
      <c r="A31" s="120">
        <v>43007</v>
      </c>
      <c r="B31" s="121">
        <v>76606500</v>
      </c>
    </row>
    <row r="32" spans="1:2">
      <c r="A32" s="120">
        <v>43098</v>
      </c>
      <c r="B32" s="121">
        <v>56658000</v>
      </c>
    </row>
    <row r="33" spans="1:2">
      <c r="A33" s="120">
        <v>43188</v>
      </c>
      <c r="B33" s="121">
        <v>227560500</v>
      </c>
    </row>
    <row r="34" spans="1:2">
      <c r="A34" s="120">
        <v>43280</v>
      </c>
      <c r="B34" s="121">
        <v>97386000</v>
      </c>
    </row>
    <row r="35" spans="1:2">
      <c r="A35" s="120">
        <v>43371</v>
      </c>
      <c r="B35" s="121">
        <v>504745500</v>
      </c>
    </row>
    <row r="36" spans="1:2">
      <c r="A36" s="120">
        <v>43465</v>
      </c>
      <c r="B36" s="121">
        <v>94534500</v>
      </c>
    </row>
    <row r="37" spans="1:2">
      <c r="A37" s="120">
        <v>43553</v>
      </c>
      <c r="B37" s="121">
        <v>89869500</v>
      </c>
    </row>
    <row r="38" spans="1:2">
      <c r="A38" s="120">
        <v>43644</v>
      </c>
      <c r="B38" s="121">
        <v>102771000</v>
      </c>
    </row>
    <row r="39" spans="1:2">
      <c r="A39" s="120">
        <v>43738</v>
      </c>
      <c r="B39" s="121">
        <v>88197000</v>
      </c>
    </row>
    <row r="40" spans="1:2">
      <c r="A40" s="120">
        <v>43829</v>
      </c>
      <c r="B40" s="121">
        <v>188796000</v>
      </c>
    </row>
    <row r="41" spans="1:2">
      <c r="A41" s="120">
        <v>43921</v>
      </c>
      <c r="B41" s="121">
        <v>266572500</v>
      </c>
    </row>
    <row r="42" spans="1:2">
      <c r="A42" s="120">
        <v>44012</v>
      </c>
      <c r="B42" s="121">
        <v>253777500</v>
      </c>
    </row>
    <row r="43" spans="1:2">
      <c r="A43" s="120">
        <v>44104</v>
      </c>
      <c r="B43" s="121">
        <v>144436800</v>
      </c>
    </row>
    <row r="44" spans="1:2">
      <c r="A44" s="120">
        <v>44195</v>
      </c>
      <c r="B44" s="121">
        <v>128538000</v>
      </c>
    </row>
    <row r="45" spans="1:2">
      <c r="A45" s="120">
        <v>44286</v>
      </c>
      <c r="B45" s="121">
        <v>100011900</v>
      </c>
    </row>
    <row r="46" spans="1:2">
      <c r="A46" s="120">
        <v>44377</v>
      </c>
      <c r="B46" s="121">
        <v>56774700</v>
      </c>
    </row>
    <row r="47" spans="1:2">
      <c r="A47" s="120">
        <v>44469</v>
      </c>
      <c r="B47" s="121">
        <v>53868000</v>
      </c>
    </row>
    <row r="48" spans="1:2">
      <c r="A48" s="120">
        <v>44560</v>
      </c>
      <c r="B48" s="121">
        <v>47040900</v>
      </c>
    </row>
    <row r="49" spans="1:2">
      <c r="A49" s="120">
        <v>44651</v>
      </c>
      <c r="B49" s="121">
        <v>48992700</v>
      </c>
    </row>
    <row r="50" spans="1:2">
      <c r="A50" s="120">
        <v>44742</v>
      </c>
      <c r="B50" s="121">
        <v>94600500</v>
      </c>
    </row>
    <row r="51" spans="1:2">
      <c r="A51" s="120">
        <v>44834</v>
      </c>
      <c r="B51" s="121">
        <v>67726600</v>
      </c>
    </row>
    <row r="52" spans="1:2">
      <c r="A52" s="120">
        <v>44925</v>
      </c>
      <c r="B52" s="121">
        <v>157777300</v>
      </c>
    </row>
    <row r="53" spans="1:2">
      <c r="A53" s="120">
        <v>45016</v>
      </c>
      <c r="B53" s="121">
        <v>170222100</v>
      </c>
    </row>
    <row r="54" spans="1:2">
      <c r="A54" s="120">
        <v>45107</v>
      </c>
      <c r="B54" s="121">
        <v>112267600</v>
      </c>
    </row>
    <row r="55" spans="1:2">
      <c r="A55" s="120">
        <v>45198</v>
      </c>
      <c r="B55" s="121">
        <v>128346200</v>
      </c>
    </row>
    <row r="56" spans="1:2">
      <c r="A56" s="120">
        <v>45289</v>
      </c>
      <c r="B56" s="121">
        <v>100615300</v>
      </c>
    </row>
    <row r="57" spans="1:2">
      <c r="A57" s="120">
        <v>45379</v>
      </c>
      <c r="B57" s="121">
        <v>77654800</v>
      </c>
    </row>
    <row r="58" spans="1:2">
      <c r="A58" s="120">
        <v>45471</v>
      </c>
      <c r="B58" s="121">
        <v>95438100</v>
      </c>
    </row>
    <row r="59" spans="1:2">
      <c r="A59" s="120">
        <v>45565</v>
      </c>
      <c r="B59" s="121">
        <v>80705700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1993A-5DBB-D64F-9030-16BFB617AE0C}">
  <dimension ref="A1:S59"/>
  <sheetViews>
    <sheetView zoomScale="75" zoomScaleNormal="68" workbookViewId="0">
      <selection activeCell="P11" sqref="P11"/>
    </sheetView>
  </sheetViews>
  <sheetFormatPr baseColWidth="10" defaultColWidth="7.5" defaultRowHeight="13"/>
  <cols>
    <col min="1" max="1" width="7.5" style="119"/>
    <col min="2" max="2" width="24.33203125" style="119" customWidth="1"/>
    <col min="3" max="3" width="31.5" style="119" customWidth="1"/>
    <col min="4" max="4" width="12.6640625" style="119" customWidth="1"/>
    <col min="5" max="9" width="7.5" style="119"/>
    <col min="10" max="10" width="25.1640625" style="119" customWidth="1"/>
    <col min="11" max="11" width="22.1640625" style="119" customWidth="1"/>
    <col min="12" max="12" width="8.6640625" style="119" bestFit="1" customWidth="1"/>
    <col min="13" max="14" width="7.6640625" style="119" bestFit="1" customWidth="1"/>
    <col min="15" max="15" width="25.6640625" style="119" customWidth="1"/>
    <col min="16" max="16" width="19.6640625" style="119" customWidth="1"/>
    <col min="17" max="17" width="18.83203125" style="119" customWidth="1"/>
    <col min="18" max="18" width="23.1640625" style="119" customWidth="1"/>
    <col min="19" max="19" width="24.83203125" style="119" customWidth="1"/>
    <col min="20" max="20" width="26" style="119" customWidth="1"/>
    <col min="21" max="16384" width="7.5" style="119"/>
  </cols>
  <sheetData>
    <row r="1" spans="1:18" ht="98" customHeight="1">
      <c r="A1" s="117" t="s">
        <v>112</v>
      </c>
      <c r="B1" s="118" t="s">
        <v>113</v>
      </c>
      <c r="C1" s="394" t="s">
        <v>163</v>
      </c>
      <c r="D1" s="394" t="s">
        <v>141</v>
      </c>
      <c r="E1" s="394" t="s">
        <v>164</v>
      </c>
      <c r="F1" s="394" t="s">
        <v>165</v>
      </c>
      <c r="G1" s="394" t="s">
        <v>166</v>
      </c>
    </row>
    <row r="2" spans="1:18" ht="16">
      <c r="A2" s="120">
        <v>40359</v>
      </c>
      <c r="B2" s="121">
        <v>257806500</v>
      </c>
      <c r="C2" s="406" cm="1">
        <f t="array" ref="C2:C59">LOG(B2:B59)</f>
        <v>8.4112938628953735</v>
      </c>
      <c r="D2" s="408">
        <v>0</v>
      </c>
      <c r="E2" s="407">
        <v>0</v>
      </c>
      <c r="F2" s="407">
        <v>1</v>
      </c>
      <c r="G2" s="407">
        <v>0</v>
      </c>
    </row>
    <row r="3" spans="1:18" ht="16">
      <c r="A3" s="120">
        <v>40451</v>
      </c>
      <c r="B3" s="121">
        <v>32937000</v>
      </c>
      <c r="C3" s="406">
        <v>7.5176840398009741</v>
      </c>
      <c r="D3" s="408">
        <v>1</v>
      </c>
      <c r="E3" s="407">
        <v>0</v>
      </c>
      <c r="F3" s="407">
        <v>0</v>
      </c>
      <c r="G3" s="407">
        <v>1</v>
      </c>
    </row>
    <row r="4" spans="1:18" ht="16">
      <c r="A4" s="120">
        <v>40542</v>
      </c>
      <c r="B4" s="121">
        <v>30616500</v>
      </c>
      <c r="C4" s="406">
        <v>7.4859555417650387</v>
      </c>
      <c r="D4" s="408">
        <v>2</v>
      </c>
      <c r="E4" s="407">
        <v>0</v>
      </c>
      <c r="F4" s="407">
        <v>0</v>
      </c>
      <c r="G4" s="407">
        <v>0</v>
      </c>
    </row>
    <row r="5" spans="1:18" ht="16">
      <c r="A5" s="120">
        <v>40633</v>
      </c>
      <c r="B5" s="121">
        <v>172767000</v>
      </c>
      <c r="C5" s="406">
        <v>8.2374607920401139</v>
      </c>
      <c r="D5" s="408">
        <v>3</v>
      </c>
      <c r="E5" s="407">
        <v>1</v>
      </c>
      <c r="F5" s="407">
        <v>0</v>
      </c>
      <c r="G5" s="407">
        <v>0</v>
      </c>
      <c r="J5" s="275" t="s">
        <v>117</v>
      </c>
      <c r="K5" s="275"/>
      <c r="L5" s="275"/>
      <c r="M5" s="275"/>
      <c r="N5" s="275"/>
      <c r="O5" s="275"/>
      <c r="P5" s="275"/>
      <c r="Q5" s="275"/>
      <c r="R5" s="275"/>
    </row>
    <row r="6" spans="1:18" ht="17" thickBot="1">
      <c r="A6" s="120">
        <v>40724</v>
      </c>
      <c r="B6" s="121">
        <v>14200500</v>
      </c>
      <c r="C6" s="406">
        <v>7.1523036361730581</v>
      </c>
      <c r="D6" s="408">
        <v>4</v>
      </c>
      <c r="E6" s="407">
        <v>0</v>
      </c>
      <c r="F6" s="407">
        <v>1</v>
      </c>
      <c r="G6" s="407">
        <v>0</v>
      </c>
      <c r="J6" s="275"/>
      <c r="K6" s="275"/>
      <c r="L6" s="275"/>
      <c r="M6" s="275"/>
      <c r="N6" s="275"/>
      <c r="O6" s="275"/>
      <c r="P6" s="275"/>
      <c r="Q6" s="275"/>
      <c r="R6" s="275"/>
    </row>
    <row r="7" spans="1:18" ht="16">
      <c r="A7" s="120">
        <v>40816</v>
      </c>
      <c r="B7" s="121">
        <v>20041500</v>
      </c>
      <c r="C7" s="406">
        <v>7.301930223050686</v>
      </c>
      <c r="D7" s="408">
        <v>5</v>
      </c>
      <c r="E7" s="407">
        <v>0</v>
      </c>
      <c r="F7" s="407">
        <v>0</v>
      </c>
      <c r="G7" s="407">
        <v>1</v>
      </c>
      <c r="J7" s="276" t="s">
        <v>118</v>
      </c>
      <c r="K7" s="276"/>
      <c r="L7" s="275"/>
      <c r="M7" s="275"/>
      <c r="N7" s="275"/>
      <c r="O7" s="275"/>
      <c r="P7" s="275"/>
      <c r="Q7" s="275"/>
      <c r="R7" s="275"/>
    </row>
    <row r="8" spans="1:18" ht="16">
      <c r="A8" s="120">
        <v>40907</v>
      </c>
      <c r="B8" s="121">
        <v>5097000</v>
      </c>
      <c r="C8" s="406">
        <v>6.7073146335887079</v>
      </c>
      <c r="D8" s="408">
        <v>6</v>
      </c>
      <c r="E8" s="407">
        <v>0</v>
      </c>
      <c r="F8" s="407">
        <v>0</v>
      </c>
      <c r="G8" s="407">
        <v>0</v>
      </c>
      <c r="J8" s="277" t="s">
        <v>119</v>
      </c>
      <c r="K8" s="277">
        <v>0.49939665082667423</v>
      </c>
      <c r="L8" s="275"/>
      <c r="M8" s="275"/>
      <c r="N8" s="275"/>
      <c r="O8" s="275"/>
      <c r="P8" s="275"/>
      <c r="Q8" s="275"/>
      <c r="R8" s="275"/>
    </row>
    <row r="9" spans="1:18" ht="16">
      <c r="A9" s="120">
        <v>40998</v>
      </c>
      <c r="B9" s="121">
        <v>13296000</v>
      </c>
      <c r="C9" s="406">
        <v>7.1237210064400358</v>
      </c>
      <c r="D9" s="408">
        <v>7</v>
      </c>
      <c r="E9" s="407">
        <v>1</v>
      </c>
      <c r="F9" s="407">
        <v>0</v>
      </c>
      <c r="G9" s="407">
        <v>0</v>
      </c>
      <c r="J9" s="277" t="s">
        <v>120</v>
      </c>
      <c r="K9" s="277">
        <v>0.24939701485689916</v>
      </c>
      <c r="L9" s="275"/>
      <c r="M9" s="275"/>
      <c r="N9" s="275"/>
      <c r="O9" s="275"/>
      <c r="P9" s="275"/>
      <c r="Q9" s="275"/>
      <c r="R9" s="275"/>
    </row>
    <row r="10" spans="1:18" ht="16">
      <c r="A10" s="120">
        <v>41089</v>
      </c>
      <c r="B10" s="121">
        <v>16887000</v>
      </c>
      <c r="C10" s="406">
        <v>7.2275525033798642</v>
      </c>
      <c r="D10" s="408">
        <v>8</v>
      </c>
      <c r="E10" s="407">
        <v>0</v>
      </c>
      <c r="F10" s="407">
        <v>1</v>
      </c>
      <c r="G10" s="407">
        <v>0</v>
      </c>
      <c r="J10" s="277" t="s">
        <v>121</v>
      </c>
      <c r="K10" s="277">
        <v>0.19274773295930667</v>
      </c>
      <c r="L10" s="275"/>
      <c r="M10" s="275"/>
      <c r="N10" s="275"/>
      <c r="O10" s="275"/>
      <c r="P10" s="275"/>
      <c r="Q10" s="275"/>
      <c r="R10" s="275"/>
    </row>
    <row r="11" spans="1:18" ht="16">
      <c r="A11" s="120">
        <v>41180</v>
      </c>
      <c r="B11" s="121">
        <v>65151000</v>
      </c>
      <c r="C11" s="406">
        <v>7.813921086067773</v>
      </c>
      <c r="D11" s="408">
        <v>9</v>
      </c>
      <c r="E11" s="407">
        <v>0</v>
      </c>
      <c r="F11" s="407">
        <v>0</v>
      </c>
      <c r="G11" s="407">
        <v>1</v>
      </c>
      <c r="J11" s="277" t="s">
        <v>122</v>
      </c>
      <c r="K11" s="277">
        <v>0.3342338502867167</v>
      </c>
      <c r="L11" s="275"/>
      <c r="M11" s="275"/>
      <c r="N11" s="275"/>
      <c r="O11" s="275"/>
      <c r="P11" s="275"/>
      <c r="Q11" s="275"/>
      <c r="R11" s="275"/>
    </row>
    <row r="12" spans="1:18" ht="17" thickBot="1">
      <c r="A12" s="120">
        <v>41274</v>
      </c>
      <c r="B12" s="121">
        <v>8923500</v>
      </c>
      <c r="C12" s="406">
        <v>6.9505352279806463</v>
      </c>
      <c r="D12" s="408">
        <v>10</v>
      </c>
      <c r="E12" s="407">
        <v>0</v>
      </c>
      <c r="F12" s="407">
        <v>0</v>
      </c>
      <c r="G12" s="407">
        <v>0</v>
      </c>
      <c r="J12" s="278" t="s">
        <v>123</v>
      </c>
      <c r="K12" s="278">
        <v>58</v>
      </c>
      <c r="L12" s="275"/>
      <c r="M12" s="275"/>
      <c r="N12" s="275"/>
      <c r="O12" s="275"/>
      <c r="P12" s="275"/>
      <c r="Q12" s="275"/>
      <c r="R12" s="275"/>
    </row>
    <row r="13" spans="1:18" ht="16">
      <c r="A13" s="120">
        <v>41361</v>
      </c>
      <c r="B13" s="121">
        <v>17380500</v>
      </c>
      <c r="C13" s="406">
        <v>7.240062266020443</v>
      </c>
      <c r="D13" s="408">
        <v>11</v>
      </c>
      <c r="E13" s="407">
        <v>1</v>
      </c>
      <c r="F13" s="407">
        <v>0</v>
      </c>
      <c r="G13" s="407">
        <v>0</v>
      </c>
      <c r="J13" s="275"/>
      <c r="K13" s="275"/>
      <c r="L13" s="275"/>
      <c r="M13" s="275"/>
      <c r="N13" s="275"/>
      <c r="O13" s="275"/>
      <c r="P13" s="275"/>
      <c r="Q13" s="275"/>
      <c r="R13" s="275"/>
    </row>
    <row r="14" spans="1:18" ht="17" thickBot="1">
      <c r="A14" s="120">
        <v>41453</v>
      </c>
      <c r="B14" s="121">
        <v>86229000</v>
      </c>
      <c r="C14" s="406">
        <v>7.9356533496052135</v>
      </c>
      <c r="D14" s="408">
        <v>12</v>
      </c>
      <c r="E14" s="407">
        <v>0</v>
      </c>
      <c r="F14" s="407">
        <v>1</v>
      </c>
      <c r="G14" s="407">
        <v>0</v>
      </c>
      <c r="J14" s="275" t="s">
        <v>124</v>
      </c>
      <c r="K14" s="275"/>
      <c r="L14" s="275"/>
      <c r="M14" s="275"/>
      <c r="N14" s="275"/>
      <c r="O14" s="275"/>
      <c r="P14" s="275"/>
      <c r="Q14" s="275"/>
      <c r="R14" s="275"/>
    </row>
    <row r="15" spans="1:18" ht="16">
      <c r="A15" s="120">
        <v>41547</v>
      </c>
      <c r="B15" s="121">
        <v>133870500</v>
      </c>
      <c r="C15" s="406">
        <v>8.1266848854607137</v>
      </c>
      <c r="D15" s="408">
        <v>13</v>
      </c>
      <c r="E15" s="407">
        <v>0</v>
      </c>
      <c r="F15" s="407">
        <v>0</v>
      </c>
      <c r="G15" s="407">
        <v>1</v>
      </c>
      <c r="J15" s="279"/>
      <c r="K15" s="279" t="s">
        <v>129</v>
      </c>
      <c r="L15" s="279" t="s">
        <v>130</v>
      </c>
      <c r="M15" s="279" t="s">
        <v>131</v>
      </c>
      <c r="N15" s="279" t="s">
        <v>132</v>
      </c>
      <c r="O15" s="279" t="s">
        <v>133</v>
      </c>
      <c r="P15" s="275"/>
      <c r="Q15" s="275"/>
      <c r="R15" s="275"/>
    </row>
    <row r="16" spans="1:18" ht="16">
      <c r="A16" s="120">
        <v>41638</v>
      </c>
      <c r="B16" s="121">
        <v>67012500</v>
      </c>
      <c r="C16" s="406">
        <v>7.826155820233363</v>
      </c>
      <c r="D16" s="408">
        <v>14</v>
      </c>
      <c r="E16" s="407">
        <v>0</v>
      </c>
      <c r="F16" s="407">
        <v>0</v>
      </c>
      <c r="G16" s="407">
        <v>0</v>
      </c>
      <c r="J16" s="277" t="s">
        <v>125</v>
      </c>
      <c r="K16" s="277">
        <v>4</v>
      </c>
      <c r="L16" s="277">
        <v>1.9672415888785499</v>
      </c>
      <c r="M16" s="277">
        <v>0.49181039721963749</v>
      </c>
      <c r="N16" s="277">
        <v>4.4024744269088085</v>
      </c>
      <c r="O16" s="277">
        <v>3.7992807677555019E-3</v>
      </c>
      <c r="P16" s="275"/>
      <c r="Q16" s="275"/>
      <c r="R16" s="275"/>
    </row>
    <row r="17" spans="1:19" ht="16">
      <c r="A17" s="120">
        <v>41729</v>
      </c>
      <c r="B17" s="121">
        <v>125700000</v>
      </c>
      <c r="C17" s="406">
        <v>8.0993352776859577</v>
      </c>
      <c r="D17" s="408">
        <v>15</v>
      </c>
      <c r="E17" s="407">
        <v>1</v>
      </c>
      <c r="F17" s="407">
        <v>0</v>
      </c>
      <c r="G17" s="407">
        <v>0</v>
      </c>
      <c r="J17" s="277" t="s">
        <v>126</v>
      </c>
      <c r="K17" s="277">
        <v>53</v>
      </c>
      <c r="L17" s="277">
        <v>5.9207501339066173</v>
      </c>
      <c r="M17" s="277">
        <v>0.11171226667748335</v>
      </c>
      <c r="N17" s="277"/>
      <c r="O17" s="277"/>
      <c r="P17" s="275"/>
      <c r="Q17" s="275"/>
      <c r="R17" s="275"/>
    </row>
    <row r="18" spans="1:19" ht="17" thickBot="1">
      <c r="A18" s="120">
        <v>41820</v>
      </c>
      <c r="B18" s="121">
        <v>72429000</v>
      </c>
      <c r="C18" s="406">
        <v>7.8599124891013101</v>
      </c>
      <c r="D18" s="408">
        <v>16</v>
      </c>
      <c r="E18" s="407">
        <v>0</v>
      </c>
      <c r="F18" s="407">
        <v>1</v>
      </c>
      <c r="G18" s="407">
        <v>0</v>
      </c>
      <c r="J18" s="278" t="s">
        <v>127</v>
      </c>
      <c r="K18" s="278">
        <v>57</v>
      </c>
      <c r="L18" s="278">
        <v>7.8879917227851672</v>
      </c>
      <c r="M18" s="278"/>
      <c r="N18" s="278"/>
      <c r="O18" s="278"/>
      <c r="P18" s="275"/>
      <c r="Q18" s="275"/>
      <c r="R18" s="275"/>
    </row>
    <row r="19" spans="1:19" ht="17" thickBot="1">
      <c r="A19" s="120">
        <v>41912</v>
      </c>
      <c r="B19" s="121">
        <v>63574500</v>
      </c>
      <c r="C19" s="406">
        <v>7.8032829532269075</v>
      </c>
      <c r="D19" s="408">
        <v>17</v>
      </c>
      <c r="E19" s="407">
        <v>0</v>
      </c>
      <c r="F19" s="407">
        <v>0</v>
      </c>
      <c r="G19" s="407">
        <v>1</v>
      </c>
      <c r="J19" s="275"/>
      <c r="K19" s="275"/>
      <c r="L19" s="275"/>
      <c r="M19" s="275"/>
      <c r="N19" s="275"/>
      <c r="O19" s="275"/>
      <c r="P19" s="275"/>
      <c r="Q19" s="275"/>
      <c r="R19" s="275"/>
    </row>
    <row r="20" spans="1:19" ht="16">
      <c r="A20" s="120">
        <v>42003</v>
      </c>
      <c r="B20" s="121">
        <v>43548000</v>
      </c>
      <c r="C20" s="406">
        <v>7.6389682142481812</v>
      </c>
      <c r="D20" s="408">
        <v>18</v>
      </c>
      <c r="E20" s="407">
        <v>0</v>
      </c>
      <c r="F20" s="407">
        <v>0</v>
      </c>
      <c r="G20" s="407">
        <v>0</v>
      </c>
      <c r="J20" s="396"/>
      <c r="K20" s="396" t="s">
        <v>134</v>
      </c>
      <c r="L20" s="279" t="s">
        <v>122</v>
      </c>
      <c r="M20" s="279" t="s">
        <v>135</v>
      </c>
      <c r="N20" s="279" t="s">
        <v>136</v>
      </c>
      <c r="O20" s="279" t="s">
        <v>137</v>
      </c>
      <c r="P20" s="279" t="s">
        <v>138</v>
      </c>
      <c r="Q20" s="279" t="s">
        <v>139</v>
      </c>
      <c r="R20" s="279" t="s">
        <v>140</v>
      </c>
    </row>
    <row r="21" spans="1:19" ht="16">
      <c r="A21" s="120">
        <v>42094</v>
      </c>
      <c r="B21" s="121">
        <v>75399000</v>
      </c>
      <c r="C21" s="406">
        <v>7.8773655859578131</v>
      </c>
      <c r="D21" s="408">
        <v>19</v>
      </c>
      <c r="E21" s="407">
        <v>1</v>
      </c>
      <c r="F21" s="407">
        <v>0</v>
      </c>
      <c r="G21" s="407">
        <v>0</v>
      </c>
      <c r="I21" s="395" t="s">
        <v>171</v>
      </c>
      <c r="J21" s="397" t="s">
        <v>128</v>
      </c>
      <c r="K21" s="397">
        <v>7.4449091071928866</v>
      </c>
      <c r="L21" s="277">
        <v>0.11563932547950076</v>
      </c>
      <c r="M21" s="277">
        <v>64.380426609394533</v>
      </c>
      <c r="N21" s="277">
        <v>5.2910071998524085E-52</v>
      </c>
      <c r="O21" s="277">
        <v>7.2129659932111183</v>
      </c>
      <c r="P21" s="277">
        <v>7.6768522211746548</v>
      </c>
      <c r="Q21" s="277">
        <v>7.2129659932111183</v>
      </c>
      <c r="R21" s="277">
        <v>7.6768522211746548</v>
      </c>
    </row>
    <row r="22" spans="1:19" ht="16">
      <c r="A22" s="120">
        <v>42185</v>
      </c>
      <c r="B22" s="121">
        <v>46303500</v>
      </c>
      <c r="C22" s="406">
        <v>7.6656138198135686</v>
      </c>
      <c r="D22" s="408">
        <v>20</v>
      </c>
      <c r="E22" s="407">
        <v>0</v>
      </c>
      <c r="F22" s="407">
        <v>1</v>
      </c>
      <c r="G22" s="407">
        <v>0</v>
      </c>
      <c r="I22" s="395" t="s">
        <v>172</v>
      </c>
      <c r="J22" s="397" t="s">
        <v>141</v>
      </c>
      <c r="K22" s="397">
        <v>1.0087145285393E-2</v>
      </c>
      <c r="L22" s="277">
        <v>2.6227531631889127E-3</v>
      </c>
      <c r="M22" s="277">
        <v>3.8460139623388718</v>
      </c>
      <c r="N22" s="277">
        <v>3.2405536104580877E-4</v>
      </c>
      <c r="O22" s="277">
        <v>4.8265686316195629E-3</v>
      </c>
      <c r="P22" s="277">
        <v>1.5347721939166436E-2</v>
      </c>
      <c r="Q22" s="277">
        <v>4.8265686316195629E-3</v>
      </c>
      <c r="R22" s="277">
        <v>1.5347721939166436E-2</v>
      </c>
    </row>
    <row r="23" spans="1:19" ht="16">
      <c r="A23" s="120">
        <v>42277</v>
      </c>
      <c r="B23" s="121">
        <v>73944000</v>
      </c>
      <c r="C23" s="406">
        <v>7.8689029400285468</v>
      </c>
      <c r="D23" s="408">
        <v>21</v>
      </c>
      <c r="E23" s="407">
        <v>0</v>
      </c>
      <c r="F23" s="407">
        <v>0</v>
      </c>
      <c r="G23" s="407">
        <v>1</v>
      </c>
      <c r="I23" s="395" t="s">
        <v>173</v>
      </c>
      <c r="J23" s="397" t="s">
        <v>164</v>
      </c>
      <c r="K23" s="397">
        <v>0.18396451628908117</v>
      </c>
      <c r="L23" s="277">
        <v>0.12635574412663439</v>
      </c>
      <c r="M23" s="277">
        <v>1.4559252336380606</v>
      </c>
      <c r="N23" s="277">
        <v>0.15131177015365704</v>
      </c>
      <c r="O23" s="277">
        <v>-6.9473011478325172E-2</v>
      </c>
      <c r="P23" s="277">
        <v>0.43740204405648753</v>
      </c>
      <c r="Q23" s="277">
        <v>-6.9473011478325172E-2</v>
      </c>
      <c r="R23" s="277">
        <v>0.43740204405648753</v>
      </c>
    </row>
    <row r="24" spans="1:19" ht="16">
      <c r="A24" s="120">
        <v>42368</v>
      </c>
      <c r="B24" s="121">
        <v>55468500</v>
      </c>
      <c r="C24" s="406">
        <v>7.7440464216832154</v>
      </c>
      <c r="D24" s="408">
        <v>22</v>
      </c>
      <c r="E24" s="407">
        <v>0</v>
      </c>
      <c r="F24" s="407">
        <v>0</v>
      </c>
      <c r="G24" s="407">
        <v>0</v>
      </c>
      <c r="I24" s="395" t="s">
        <v>174</v>
      </c>
      <c r="J24" s="397" t="s">
        <v>165</v>
      </c>
      <c r="K24" s="397">
        <v>0.15408581403462501</v>
      </c>
      <c r="L24" s="277">
        <v>0.12420520144094525</v>
      </c>
      <c r="M24" s="277">
        <v>1.240574567304948</v>
      </c>
      <c r="N24" s="277">
        <v>0.22022671137262254</v>
      </c>
      <c r="O24" s="277">
        <v>-9.5038271353200657E-2</v>
      </c>
      <c r="P24" s="277">
        <v>0.40320989942244978</v>
      </c>
      <c r="Q24" s="277">
        <v>-9.5038271353200657E-2</v>
      </c>
      <c r="R24" s="277">
        <v>0.40320989942244978</v>
      </c>
    </row>
    <row r="25" spans="1:19" ht="17" thickBot="1">
      <c r="A25" s="120">
        <v>42460</v>
      </c>
      <c r="B25" s="121">
        <v>120193500</v>
      </c>
      <c r="C25" s="406">
        <v>8.0798809818891684</v>
      </c>
      <c r="D25" s="408">
        <v>23</v>
      </c>
      <c r="E25" s="407">
        <v>1</v>
      </c>
      <c r="F25" s="407">
        <v>0</v>
      </c>
      <c r="G25" s="407">
        <v>0</v>
      </c>
      <c r="I25" s="395" t="s">
        <v>175</v>
      </c>
      <c r="J25" s="398" t="s">
        <v>166</v>
      </c>
      <c r="K25" s="398">
        <v>0.14863190504935306</v>
      </c>
      <c r="L25" s="278">
        <v>0.12423288976410718</v>
      </c>
      <c r="M25" s="278">
        <v>1.196397389866521</v>
      </c>
      <c r="N25" s="278">
        <v>0.23686625877024989</v>
      </c>
      <c r="O25" s="278">
        <v>-0.10054771608177127</v>
      </c>
      <c r="P25" s="278">
        <v>0.39781152618047738</v>
      </c>
      <c r="Q25" s="278">
        <v>-0.10054771608177127</v>
      </c>
      <c r="R25" s="278">
        <v>0.39781152618047738</v>
      </c>
    </row>
    <row r="26" spans="1:19" ht="16">
      <c r="A26" s="120">
        <v>42551</v>
      </c>
      <c r="B26" s="121">
        <v>72646500</v>
      </c>
      <c r="C26" s="406">
        <v>7.861214695477778</v>
      </c>
      <c r="D26" s="408">
        <v>24</v>
      </c>
      <c r="E26" s="407">
        <v>0</v>
      </c>
      <c r="F26" s="407">
        <v>1</v>
      </c>
      <c r="G26" s="407">
        <v>0</v>
      </c>
      <c r="J26" s="217"/>
      <c r="K26" s="217"/>
      <c r="L26" s="217"/>
      <c r="M26" s="217"/>
      <c r="N26" s="217"/>
      <c r="O26" s="217"/>
      <c r="P26" s="217"/>
      <c r="Q26" s="217"/>
      <c r="R26" s="217"/>
    </row>
    <row r="27" spans="1:19" ht="16">
      <c r="A27" s="120">
        <v>42643</v>
      </c>
      <c r="B27" s="121">
        <v>38794500</v>
      </c>
      <c r="C27" s="406">
        <v>7.5887701588683578</v>
      </c>
      <c r="D27" s="408">
        <v>25</v>
      </c>
      <c r="E27" s="407">
        <v>0</v>
      </c>
      <c r="F27" s="407">
        <v>0</v>
      </c>
      <c r="G27" s="407">
        <v>1</v>
      </c>
      <c r="J27"/>
      <c r="K27"/>
      <c r="L27"/>
      <c r="M27"/>
      <c r="N27"/>
      <c r="O27"/>
      <c r="P27"/>
      <c r="Q27"/>
      <c r="R27"/>
    </row>
    <row r="28" spans="1:19" ht="16">
      <c r="A28" s="120">
        <v>42734</v>
      </c>
      <c r="B28" s="121">
        <v>69639000</v>
      </c>
      <c r="C28" s="406">
        <v>7.8428525261213409</v>
      </c>
      <c r="D28" s="408">
        <v>26</v>
      </c>
      <c r="E28" s="407">
        <v>0</v>
      </c>
      <c r="F28" s="407">
        <v>0</v>
      </c>
      <c r="G28" s="407">
        <v>0</v>
      </c>
      <c r="J28"/>
      <c r="K28"/>
      <c r="L28"/>
      <c r="M28"/>
      <c r="N28"/>
      <c r="O28"/>
      <c r="P28"/>
      <c r="Q28"/>
      <c r="R28"/>
    </row>
    <row r="29" spans="1:19" ht="16">
      <c r="A29" s="120">
        <v>42825</v>
      </c>
      <c r="B29" s="121">
        <v>49419000</v>
      </c>
      <c r="C29" s="406">
        <v>7.6938939531487014</v>
      </c>
      <c r="D29" s="408">
        <v>27</v>
      </c>
      <c r="E29" s="407">
        <v>1</v>
      </c>
      <c r="F29" s="407">
        <v>0</v>
      </c>
      <c r="G29" s="407">
        <v>0</v>
      </c>
      <c r="J29" s="409" t="s">
        <v>215</v>
      </c>
      <c r="K29" s="409"/>
      <c r="L29" s="409"/>
      <c r="M29" s="409"/>
      <c r="N29" s="409"/>
      <c r="O29" s="409"/>
      <c r="P29" s="409"/>
      <c r="Q29" s="409"/>
      <c r="R29" s="409"/>
      <c r="S29" s="409"/>
    </row>
    <row r="30" spans="1:19" ht="16">
      <c r="A30" s="120">
        <v>42916</v>
      </c>
      <c r="B30" s="121">
        <v>87727500</v>
      </c>
      <c r="C30" s="406">
        <v>7.9431357532993481</v>
      </c>
      <c r="D30" s="408">
        <v>28</v>
      </c>
      <c r="E30" s="407">
        <v>0</v>
      </c>
      <c r="F30" s="407">
        <v>1</v>
      </c>
      <c r="G30" s="407">
        <v>0</v>
      </c>
    </row>
    <row r="31" spans="1:19" ht="16">
      <c r="A31" s="120">
        <v>43007</v>
      </c>
      <c r="B31" s="121">
        <v>76606500</v>
      </c>
      <c r="C31" s="406">
        <v>7.8842656207340136</v>
      </c>
      <c r="D31" s="408">
        <v>29</v>
      </c>
      <c r="E31" s="407">
        <v>0</v>
      </c>
      <c r="F31" s="407">
        <v>0</v>
      </c>
      <c r="G31" s="407">
        <v>1</v>
      </c>
      <c r="J31" s="400">
        <v>45627</v>
      </c>
      <c r="K31" s="400"/>
      <c r="O31" s="400">
        <v>45717</v>
      </c>
      <c r="P31" s="400"/>
      <c r="R31" s="400">
        <v>45809</v>
      </c>
      <c r="S31" s="400"/>
    </row>
    <row r="32" spans="1:19" ht="16">
      <c r="A32" s="120">
        <v>43098</v>
      </c>
      <c r="B32" s="121">
        <v>56658000</v>
      </c>
      <c r="C32" s="406">
        <v>7.7532612400698051</v>
      </c>
      <c r="D32" s="408">
        <v>30</v>
      </c>
      <c r="E32" s="407">
        <v>0</v>
      </c>
      <c r="F32" s="407">
        <v>0</v>
      </c>
      <c r="G32" s="407">
        <v>0</v>
      </c>
      <c r="J32" s="119" t="s">
        <v>216</v>
      </c>
      <c r="K32" s="119" t="s">
        <v>161</v>
      </c>
      <c r="O32" s="119" t="s">
        <v>217</v>
      </c>
      <c r="P32" s="119" t="s">
        <v>218</v>
      </c>
      <c r="R32" s="119" t="s">
        <v>216</v>
      </c>
      <c r="S32" s="119" t="s">
        <v>161</v>
      </c>
    </row>
    <row r="33" spans="1:19" ht="16">
      <c r="A33" s="120">
        <v>43188</v>
      </c>
      <c r="B33" s="121">
        <v>227560500</v>
      </c>
      <c r="C33" s="406">
        <v>8.3570968793363836</v>
      </c>
      <c r="D33" s="408">
        <v>31</v>
      </c>
      <c r="E33" s="407">
        <v>1</v>
      </c>
      <c r="F33" s="407">
        <v>0</v>
      </c>
      <c r="G33" s="407">
        <v>0</v>
      </c>
      <c r="J33" s="119" t="s">
        <v>141</v>
      </c>
      <c r="K33" s="399">
        <v>58</v>
      </c>
      <c r="O33" s="119" t="s">
        <v>141</v>
      </c>
      <c r="P33" s="399">
        <v>59</v>
      </c>
      <c r="R33" s="119" t="s">
        <v>141</v>
      </c>
      <c r="S33" s="399">
        <v>60</v>
      </c>
    </row>
    <row r="34" spans="1:19" ht="16">
      <c r="A34" s="120">
        <v>43280</v>
      </c>
      <c r="B34" s="121">
        <v>97386000</v>
      </c>
      <c r="C34" s="406">
        <v>7.9884965281336635</v>
      </c>
      <c r="D34" s="408">
        <v>32</v>
      </c>
      <c r="E34" s="407">
        <v>0</v>
      </c>
      <c r="F34" s="407">
        <v>1</v>
      </c>
      <c r="G34" s="407">
        <v>0</v>
      </c>
      <c r="J34" s="119" t="s">
        <v>164</v>
      </c>
      <c r="K34" s="401">
        <v>0</v>
      </c>
      <c r="O34" s="119" t="s">
        <v>164</v>
      </c>
      <c r="P34" s="399">
        <v>1</v>
      </c>
      <c r="R34" s="119" t="s">
        <v>164</v>
      </c>
      <c r="S34" s="399">
        <v>0</v>
      </c>
    </row>
    <row r="35" spans="1:19" ht="16">
      <c r="A35" s="120">
        <v>43371</v>
      </c>
      <c r="B35" s="121">
        <v>504745500</v>
      </c>
      <c r="C35" s="406">
        <v>8.7030724557308226</v>
      </c>
      <c r="D35" s="408">
        <v>33</v>
      </c>
      <c r="E35" s="407">
        <v>0</v>
      </c>
      <c r="F35" s="407">
        <v>0</v>
      </c>
      <c r="G35" s="407">
        <v>1</v>
      </c>
      <c r="J35" s="119" t="s">
        <v>165</v>
      </c>
      <c r="K35" s="399">
        <v>0</v>
      </c>
      <c r="O35" s="119" t="s">
        <v>165</v>
      </c>
      <c r="P35" s="399">
        <v>0</v>
      </c>
      <c r="R35" s="119" t="s">
        <v>165</v>
      </c>
      <c r="S35" s="399">
        <v>1</v>
      </c>
    </row>
    <row r="36" spans="1:19" ht="16">
      <c r="A36" s="120">
        <v>43465</v>
      </c>
      <c r="B36" s="121">
        <v>94534500</v>
      </c>
      <c r="C36" s="406">
        <v>7.9755903315279921</v>
      </c>
      <c r="D36" s="408">
        <v>34</v>
      </c>
      <c r="E36" s="407">
        <v>0</v>
      </c>
      <c r="F36" s="407">
        <v>0</v>
      </c>
      <c r="G36" s="407">
        <v>0</v>
      </c>
      <c r="J36" s="119" t="s">
        <v>166</v>
      </c>
      <c r="K36" s="399">
        <v>0</v>
      </c>
      <c r="O36" s="119" t="s">
        <v>166</v>
      </c>
      <c r="P36" s="399">
        <v>0</v>
      </c>
      <c r="R36" s="119" t="s">
        <v>166</v>
      </c>
      <c r="S36" s="399">
        <v>0</v>
      </c>
    </row>
    <row r="37" spans="1:19" ht="16">
      <c r="A37" s="120">
        <v>43553</v>
      </c>
      <c r="B37" s="121">
        <v>89869500</v>
      </c>
      <c r="C37" s="406">
        <v>7.9536123254466773</v>
      </c>
      <c r="D37" s="408">
        <v>35</v>
      </c>
      <c r="E37" s="407">
        <v>1</v>
      </c>
      <c r="F37" s="407">
        <v>0</v>
      </c>
      <c r="G37" s="407">
        <v>0</v>
      </c>
      <c r="J37" s="119" t="s">
        <v>167</v>
      </c>
      <c r="K37" s="402">
        <f>K21</f>
        <v>7.4449091071928866</v>
      </c>
      <c r="O37" s="119" t="s">
        <v>167</v>
      </c>
      <c r="P37" s="402">
        <f>K21</f>
        <v>7.4449091071928866</v>
      </c>
      <c r="R37" s="119" t="s">
        <v>167</v>
      </c>
      <c r="S37" s="402">
        <f>K21</f>
        <v>7.4449091071928866</v>
      </c>
    </row>
    <row r="38" spans="1:19" ht="16">
      <c r="A38" s="120">
        <v>43644</v>
      </c>
      <c r="B38" s="121">
        <v>102771000</v>
      </c>
      <c r="C38" s="406">
        <v>8.0118705823948932</v>
      </c>
      <c r="D38" s="408">
        <v>36</v>
      </c>
      <c r="E38" s="407">
        <v>0</v>
      </c>
      <c r="F38" s="407">
        <v>1</v>
      </c>
      <c r="G38" s="407">
        <v>0</v>
      </c>
      <c r="J38" s="119" t="s">
        <v>168</v>
      </c>
      <c r="K38" s="402">
        <f>K22</f>
        <v>1.0087145285393E-2</v>
      </c>
      <c r="O38" s="119" t="s">
        <v>168</v>
      </c>
      <c r="P38" s="402">
        <f>K22</f>
        <v>1.0087145285393E-2</v>
      </c>
      <c r="R38" s="119" t="s">
        <v>168</v>
      </c>
      <c r="S38" s="402">
        <f>K22</f>
        <v>1.0087145285393E-2</v>
      </c>
    </row>
    <row r="39" spans="1:19" ht="16">
      <c r="A39" s="120">
        <v>43738</v>
      </c>
      <c r="B39" s="121">
        <v>88197000</v>
      </c>
      <c r="C39" s="406">
        <v>7.9454538129594381</v>
      </c>
      <c r="D39" s="408">
        <v>37</v>
      </c>
      <c r="E39" s="407">
        <v>0</v>
      </c>
      <c r="F39" s="407">
        <v>0</v>
      </c>
      <c r="G39" s="407">
        <v>1</v>
      </c>
      <c r="J39" s="119" t="s">
        <v>169</v>
      </c>
      <c r="K39" s="402">
        <f>K23</f>
        <v>0.18396451628908117</v>
      </c>
      <c r="O39" s="119" t="s">
        <v>169</v>
      </c>
      <c r="P39" s="402">
        <f>K23</f>
        <v>0.18396451628908117</v>
      </c>
      <c r="R39" s="119" t="s">
        <v>169</v>
      </c>
      <c r="S39" s="402">
        <f>K23</f>
        <v>0.18396451628908117</v>
      </c>
    </row>
    <row r="40" spans="1:19" ht="16">
      <c r="A40" s="120">
        <v>43829</v>
      </c>
      <c r="B40" s="121">
        <v>188796000</v>
      </c>
      <c r="C40" s="406">
        <v>8.2759927887103011</v>
      </c>
      <c r="D40" s="408">
        <v>38</v>
      </c>
      <c r="E40" s="407">
        <v>0</v>
      </c>
      <c r="F40" s="407">
        <v>0</v>
      </c>
      <c r="G40" s="407">
        <v>0</v>
      </c>
      <c r="J40" s="119" t="s">
        <v>170</v>
      </c>
      <c r="K40" s="402">
        <f>K24</f>
        <v>0.15408581403462501</v>
      </c>
      <c r="O40" s="119" t="s">
        <v>170</v>
      </c>
      <c r="P40" s="402">
        <f>K24</f>
        <v>0.15408581403462501</v>
      </c>
      <c r="R40" s="119" t="s">
        <v>170</v>
      </c>
      <c r="S40" s="402">
        <f>K24</f>
        <v>0.15408581403462501</v>
      </c>
    </row>
    <row r="41" spans="1:19" ht="16">
      <c r="A41" s="120">
        <v>43921</v>
      </c>
      <c r="B41" s="121">
        <v>266572500</v>
      </c>
      <c r="C41" s="406">
        <v>8.4258153449493154</v>
      </c>
      <c r="D41" s="408">
        <v>39</v>
      </c>
      <c r="E41" s="407">
        <v>1</v>
      </c>
      <c r="F41" s="407">
        <v>0</v>
      </c>
      <c r="G41" s="407">
        <v>0</v>
      </c>
      <c r="J41" s="119" t="s">
        <v>175</v>
      </c>
      <c r="K41" s="402">
        <f>K25</f>
        <v>0.14863190504935306</v>
      </c>
      <c r="O41" s="119" t="s">
        <v>175</v>
      </c>
      <c r="P41" s="402">
        <f>K25</f>
        <v>0.14863190504935306</v>
      </c>
      <c r="R41" s="119" t="s">
        <v>175</v>
      </c>
      <c r="S41" s="402">
        <f>K25</f>
        <v>0.14863190504935306</v>
      </c>
    </row>
    <row r="42" spans="1:19" ht="16">
      <c r="A42" s="120">
        <v>44012</v>
      </c>
      <c r="B42" s="121">
        <v>253777500</v>
      </c>
      <c r="C42" s="406">
        <v>8.4044531147681116</v>
      </c>
      <c r="D42" s="408">
        <v>40</v>
      </c>
      <c r="E42" s="407">
        <v>0</v>
      </c>
      <c r="F42" s="407">
        <v>1</v>
      </c>
      <c r="G42" s="407">
        <v>0</v>
      </c>
      <c r="J42" s="395" t="s">
        <v>213</v>
      </c>
      <c r="K42" s="403">
        <f>K37+K38*K33+K39*K34+K40*K35+K41*K36</f>
        <v>8.0299635337456809</v>
      </c>
      <c r="O42" s="395" t="s">
        <v>213</v>
      </c>
      <c r="P42" s="405">
        <f>P37+P38*P33+P39*P34+P40*P35+P41*P36</f>
        <v>8.2240151953201543</v>
      </c>
      <c r="R42" s="395" t="s">
        <v>213</v>
      </c>
      <c r="S42" s="405">
        <f>S37+S38*S33+S39*S34+S40*S35+S41*S36</f>
        <v>8.2042236383510918</v>
      </c>
    </row>
    <row r="43" spans="1:19" ht="16">
      <c r="A43" s="120">
        <v>44104</v>
      </c>
      <c r="B43" s="121">
        <v>144436800</v>
      </c>
      <c r="C43" s="406">
        <v>8.1596778580590197</v>
      </c>
      <c r="D43" s="408">
        <v>41</v>
      </c>
      <c r="E43" s="407">
        <v>0</v>
      </c>
      <c r="F43" s="407">
        <v>0</v>
      </c>
      <c r="G43" s="407">
        <v>1</v>
      </c>
      <c r="J43" s="395" t="s">
        <v>214</v>
      </c>
      <c r="K43" s="404">
        <f>10^K42</f>
        <v>107142933.71245025</v>
      </c>
      <c r="O43" s="395" t="s">
        <v>214</v>
      </c>
      <c r="P43" s="405">
        <f>10^P42</f>
        <v>167500148.08200952</v>
      </c>
      <c r="R43" s="395" t="s">
        <v>214</v>
      </c>
      <c r="S43" s="405">
        <f>10^S42</f>
        <v>160038192.72702324</v>
      </c>
    </row>
    <row r="44" spans="1:19" ht="16">
      <c r="A44" s="120">
        <v>44195</v>
      </c>
      <c r="B44" s="121">
        <v>128538000</v>
      </c>
      <c r="C44" s="406">
        <v>8.1090315381780744</v>
      </c>
      <c r="D44" s="408">
        <v>42</v>
      </c>
      <c r="E44" s="407">
        <v>0</v>
      </c>
      <c r="F44" s="407">
        <v>0</v>
      </c>
      <c r="G44" s="407">
        <v>0</v>
      </c>
    </row>
    <row r="45" spans="1:19" ht="16">
      <c r="A45" s="120">
        <v>44286</v>
      </c>
      <c r="B45" s="121">
        <v>100011900</v>
      </c>
      <c r="C45" s="406">
        <v>8.0000516779685675</v>
      </c>
      <c r="D45" s="408">
        <v>43</v>
      </c>
      <c r="E45" s="407">
        <v>1</v>
      </c>
      <c r="F45" s="407">
        <v>0</v>
      </c>
      <c r="G45" s="407">
        <v>0</v>
      </c>
    </row>
    <row r="46" spans="1:19" ht="16">
      <c r="A46" s="120">
        <v>44377</v>
      </c>
      <c r="B46" s="121">
        <v>56774700</v>
      </c>
      <c r="C46" s="406">
        <v>7.7541548480667828</v>
      </c>
      <c r="D46" s="408">
        <v>44</v>
      </c>
      <c r="E46" s="407">
        <v>0</v>
      </c>
      <c r="F46" s="407">
        <v>1</v>
      </c>
      <c r="G46" s="407">
        <v>0</v>
      </c>
    </row>
    <row r="47" spans="1:19" ht="16">
      <c r="A47" s="120">
        <v>44469</v>
      </c>
      <c r="B47" s="121">
        <v>53868000</v>
      </c>
      <c r="C47" s="406">
        <v>7.731330851449278</v>
      </c>
      <c r="D47" s="408">
        <v>45</v>
      </c>
      <c r="E47" s="407">
        <v>0</v>
      </c>
      <c r="F47" s="407">
        <v>0</v>
      </c>
      <c r="G47" s="407">
        <v>1</v>
      </c>
    </row>
    <row r="48" spans="1:19" ht="16">
      <c r="A48" s="120">
        <v>44560</v>
      </c>
      <c r="B48" s="121">
        <v>47040900</v>
      </c>
      <c r="C48" s="406">
        <v>7.6724756221942432</v>
      </c>
      <c r="D48" s="408">
        <v>46</v>
      </c>
      <c r="E48" s="407">
        <v>0</v>
      </c>
      <c r="F48" s="407">
        <v>0</v>
      </c>
      <c r="G48" s="407">
        <v>0</v>
      </c>
    </row>
    <row r="49" spans="1:7" ht="16">
      <c r="A49" s="120">
        <v>44651</v>
      </c>
      <c r="B49" s="121">
        <v>48992700</v>
      </c>
      <c r="C49" s="406">
        <v>7.6901313741938191</v>
      </c>
      <c r="D49" s="408">
        <v>47</v>
      </c>
      <c r="E49" s="407">
        <v>1</v>
      </c>
      <c r="F49" s="407">
        <v>0</v>
      </c>
      <c r="G49" s="407">
        <v>0</v>
      </c>
    </row>
    <row r="50" spans="1:7" ht="16">
      <c r="A50" s="120">
        <v>44742</v>
      </c>
      <c r="B50" s="121">
        <v>94600500</v>
      </c>
      <c r="C50" s="406">
        <v>7.975893431821107</v>
      </c>
      <c r="D50" s="408">
        <v>48</v>
      </c>
      <c r="E50" s="407">
        <v>0</v>
      </c>
      <c r="F50" s="407">
        <v>1</v>
      </c>
      <c r="G50" s="407">
        <v>0</v>
      </c>
    </row>
    <row r="51" spans="1:7" ht="16">
      <c r="A51" s="120">
        <v>44834</v>
      </c>
      <c r="B51" s="121">
        <v>67726600</v>
      </c>
      <c r="C51" s="406">
        <v>7.8307592737711049</v>
      </c>
      <c r="D51" s="408">
        <v>49</v>
      </c>
      <c r="E51" s="407">
        <v>0</v>
      </c>
      <c r="F51" s="407">
        <v>0</v>
      </c>
      <c r="G51" s="407">
        <v>1</v>
      </c>
    </row>
    <row r="52" spans="1:7" ht="16">
      <c r="A52" s="120">
        <v>44925</v>
      </c>
      <c r="B52" s="121">
        <v>157777300</v>
      </c>
      <c r="C52" s="406">
        <v>8.1980445198246468</v>
      </c>
      <c r="D52" s="408">
        <v>50</v>
      </c>
      <c r="E52" s="407">
        <v>0</v>
      </c>
      <c r="F52" s="407">
        <v>0</v>
      </c>
      <c r="G52" s="407">
        <v>0</v>
      </c>
    </row>
    <row r="53" spans="1:7" ht="16">
      <c r="A53" s="120">
        <v>45016</v>
      </c>
      <c r="B53" s="121">
        <v>170222100</v>
      </c>
      <c r="C53" s="406">
        <v>8.2310159440269075</v>
      </c>
      <c r="D53" s="408">
        <v>51</v>
      </c>
      <c r="E53" s="407">
        <v>1</v>
      </c>
      <c r="F53" s="407">
        <v>0</v>
      </c>
      <c r="G53" s="407">
        <v>0</v>
      </c>
    </row>
    <row r="54" spans="1:7" ht="16">
      <c r="A54" s="120">
        <v>45107</v>
      </c>
      <c r="B54" s="121">
        <v>112267600</v>
      </c>
      <c r="C54" s="406">
        <v>8.050254438617138</v>
      </c>
      <c r="D54" s="408">
        <v>52</v>
      </c>
      <c r="E54" s="407">
        <v>0</v>
      </c>
      <c r="F54" s="407">
        <v>1</v>
      </c>
      <c r="G54" s="407">
        <v>0</v>
      </c>
    </row>
    <row r="55" spans="1:7" ht="16">
      <c r="A55" s="120">
        <v>45198</v>
      </c>
      <c r="B55" s="121">
        <v>128346200</v>
      </c>
      <c r="C55" s="406">
        <v>8.1083830148581679</v>
      </c>
      <c r="D55" s="408">
        <v>53</v>
      </c>
      <c r="E55" s="407">
        <v>0</v>
      </c>
      <c r="F55" s="407">
        <v>0</v>
      </c>
      <c r="G55" s="407">
        <v>1</v>
      </c>
    </row>
    <row r="56" spans="1:7" ht="16">
      <c r="A56" s="120">
        <v>45289</v>
      </c>
      <c r="B56" s="121">
        <v>100615300</v>
      </c>
      <c r="C56" s="406">
        <v>8.0026640264488957</v>
      </c>
      <c r="D56" s="408">
        <v>54</v>
      </c>
      <c r="E56" s="407">
        <v>0</v>
      </c>
      <c r="F56" s="407">
        <v>0</v>
      </c>
      <c r="G56" s="407">
        <v>0</v>
      </c>
    </row>
    <row r="57" spans="1:7" ht="16">
      <c r="A57" s="120">
        <v>45379</v>
      </c>
      <c r="B57" s="121">
        <v>77654800</v>
      </c>
      <c r="C57" s="406">
        <v>7.890168305513189</v>
      </c>
      <c r="D57" s="408">
        <v>55</v>
      </c>
      <c r="E57" s="407">
        <v>1</v>
      </c>
      <c r="F57" s="407">
        <v>0</v>
      </c>
      <c r="G57" s="407">
        <v>0</v>
      </c>
    </row>
    <row r="58" spans="1:7" ht="16">
      <c r="A58" s="120">
        <v>45471</v>
      </c>
      <c r="B58" s="121">
        <v>95438100</v>
      </c>
      <c r="C58" s="406">
        <v>7.9797217847305033</v>
      </c>
      <c r="D58" s="408">
        <v>56</v>
      </c>
      <c r="E58" s="407">
        <v>0</v>
      </c>
      <c r="F58" s="407">
        <v>1</v>
      </c>
      <c r="G58" s="407">
        <v>0</v>
      </c>
    </row>
    <row r="59" spans="1:7" ht="16">
      <c r="A59" s="120">
        <v>45565</v>
      </c>
      <c r="B59" s="121">
        <v>80705700</v>
      </c>
      <c r="C59" s="406">
        <v>7.9069042087137307</v>
      </c>
      <c r="D59" s="408">
        <v>57</v>
      </c>
      <c r="E59" s="407">
        <v>0</v>
      </c>
      <c r="F59" s="407">
        <v>0</v>
      </c>
      <c r="G59" s="407">
        <v>1</v>
      </c>
    </row>
  </sheetData>
  <mergeCells count="4">
    <mergeCell ref="R31:S31"/>
    <mergeCell ref="O31:P31"/>
    <mergeCell ref="J31:K31"/>
    <mergeCell ref="J29:S29"/>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Data Description</vt:lpstr>
      <vt:lpstr>Cross-Sectional Data</vt:lpstr>
      <vt:lpstr>Raw_Data</vt:lpstr>
      <vt:lpstr>Raw_Data-2</vt:lpstr>
      <vt:lpstr>Correlation</vt:lpstr>
      <vt:lpstr>Regression Model</vt:lpstr>
      <vt:lpstr>Prediction</vt:lpstr>
      <vt:lpstr>Time-Series Data</vt:lpstr>
      <vt:lpstr>Forecasting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RISHITA SHARMA</cp:lastModifiedBy>
  <dcterms:created xsi:type="dcterms:W3CDTF">2025-04-18T08:02:38Z</dcterms:created>
  <dcterms:modified xsi:type="dcterms:W3CDTF">2025-05-31T12:11:27Z</dcterms:modified>
</cp:coreProperties>
</file>